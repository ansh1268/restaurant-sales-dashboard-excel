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2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1.xml" ContentType="application/vnd.openxmlformats-officedocument.spreadsheetml.tab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Ex2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754792F-8939-42FE-92A0-72E51095315B}" xr6:coauthVersionLast="47" xr6:coauthVersionMax="47" xr10:uidLastSave="{00000000-0000-0000-0000-000000000000}"/>
  <bookViews>
    <workbookView xWindow="-108" yWindow="-108" windowWidth="23256" windowHeight="12456" xr2:uid="{4F52CD81-B581-4913-A8D3-23DB2B97E0B2}"/>
  </bookViews>
  <sheets>
    <sheet name="Analyssi sheet" sheetId="2" r:id="rId1"/>
    <sheet name="Sheet2" sheetId="5" r:id="rId2"/>
    <sheet name="Sheet3" sheetId="6" r:id="rId3"/>
    <sheet name="Sheet4" sheetId="7" r:id="rId4"/>
    <sheet name="Sheet5" sheetId="8" r:id="rId5"/>
    <sheet name="Sheet6" sheetId="12" r:id="rId6"/>
    <sheet name="Sheet8" sheetId="11" r:id="rId7"/>
    <sheet name="Sheet12" sheetId="15" r:id="rId8"/>
    <sheet name="Sheet11" sheetId="14" r:id="rId9"/>
    <sheet name="Sheet13" sheetId="16" r:id="rId10"/>
    <sheet name="Sheet15" sheetId="18" r:id="rId11"/>
    <sheet name="Resturant Data" sheetId="1" r:id="rId12"/>
    <sheet name="Dashbord" sheetId="3" r:id="rId13"/>
  </sheets>
  <definedNames>
    <definedName name="_xlnm._FilterDatabase" localSheetId="11" hidden="1">'Resturant Data'!$A$2:$N$2</definedName>
    <definedName name="_xlchart.v5.0" hidden="1">Sheet12!$D$3</definedName>
    <definedName name="_xlchart.v5.1" hidden="1">Sheet12!$D$4:$D$31</definedName>
    <definedName name="_xlchart.v5.2" hidden="1">Sheet12!$E$2</definedName>
    <definedName name="_xlchart.v5.3" hidden="1">Sheet12!$E$3</definedName>
    <definedName name="_xlchart.v5.4" hidden="1">Sheet12!$E$4:$E$31</definedName>
    <definedName name="_xlchart.v5.5" hidden="1">Sheet12!$D$3</definedName>
    <definedName name="_xlchart.v5.6" hidden="1">Sheet12!$D$4:$D$31</definedName>
    <definedName name="_xlchart.v5.7" hidden="1">Sheet12!$E$3</definedName>
    <definedName name="_xlchart.v5.8" hidden="1">Sheet12!$E$4:$E$31</definedName>
    <definedName name="_xlcn.WorksheetConnection_ResturantDataA2N1511" hidden="1">'Resturant Data'!$A$2:$N$151</definedName>
    <definedName name="_xlcn.WorksheetConnection_ResturantDataB2C1511" hidden="1">'Resturant Data'!$B$2:$C$151</definedName>
    <definedName name="_xlnm.Print_Area" localSheetId="12">Dashbord!$A$1:$AF$93</definedName>
  </definedNames>
  <calcPr calcId="191029"/>
  <pivotCaches>
    <pivotCache cacheId="17" r:id="rId14"/>
    <pivotCache cacheId="7" r:id="rId15"/>
    <pivotCache cacheId="10" r:id="rId16"/>
    <pivotCache cacheId="45" r:id="rId17"/>
    <pivotCache cacheId="46" r:id="rId18"/>
    <pivotCache cacheId="54" r:id="rId19"/>
    <pivotCache cacheId="57" r:id="rId20"/>
    <pivotCache cacheId="63" r:id="rId2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Resturant Data!$A$2:$N$151"/>
          <x15:modelTable id="Range 1" name="Range 1" connection="WorksheetConnection_Resturant Data!$B$2:$C$15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" i="1" l="1"/>
  <c r="E7" i="2"/>
  <c r="E4" i="2"/>
  <c r="Z2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5756FE-CECA-4039-9329-57434F38384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D38DCF2-E57A-4342-BD58-F6C5D46EB024}" name="WorksheetConnection_Resturant Data!$A$2:$N$15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esturantDataA2N1511"/>
        </x15:connection>
      </ext>
    </extLst>
  </connection>
  <connection id="3" xr16:uid="{0FF6741C-F781-4A49-9B0E-CAA044110DB0}" name="WorksheetConnection_Resturant Data!$B$2:$C$151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ResturantDataB2C1511"/>
        </x15:connection>
      </ext>
    </extLst>
  </connection>
</connections>
</file>

<file path=xl/sharedStrings.xml><?xml version="1.0" encoding="utf-8"?>
<sst xmlns="http://schemas.openxmlformats.org/spreadsheetml/2006/main" count="1649" uniqueCount="283">
  <si>
    <t>ROW ID</t>
  </si>
  <si>
    <t>State</t>
  </si>
  <si>
    <t>City</t>
  </si>
  <si>
    <t>Resturant Name</t>
  </si>
  <si>
    <t>Location</t>
  </si>
  <si>
    <t>Category</t>
  </si>
  <si>
    <t>DishNmae</t>
  </si>
  <si>
    <t>Rating</t>
  </si>
  <si>
    <t>Rating count</t>
  </si>
  <si>
    <t>Andhra Pradesh</t>
  </si>
  <si>
    <t>Visakhapatnam</t>
  </si>
  <si>
    <t>Srinidhi Sagar Deluxe</t>
  </si>
  <si>
    <t>Kengeri</t>
  </si>
  <si>
    <t>Snack</t>
  </si>
  <si>
    <t>Arunachal Pradesh</t>
  </si>
  <si>
    <t>Vijayawada</t>
  </si>
  <si>
    <t>Empire Restaurant</t>
  </si>
  <si>
    <t>Whitefield</t>
  </si>
  <si>
    <t>Recommended</t>
  </si>
  <si>
    <t>Tirupati</t>
  </si>
  <si>
    <t>Meghana Foods</t>
  </si>
  <si>
    <t>Electronic City</t>
  </si>
  <si>
    <t>Guntur</t>
  </si>
  <si>
    <t>Truffles</t>
  </si>
  <si>
    <t>Koramangala</t>
  </si>
  <si>
    <t>Kakinada</t>
  </si>
  <si>
    <t>A2B Adyar Ananda Bhavan</t>
  </si>
  <si>
    <t>Indiranagar</t>
  </si>
  <si>
    <t>Nellore</t>
  </si>
  <si>
    <t>Udupi Grand</t>
  </si>
  <si>
    <t>Marathahalli</t>
  </si>
  <si>
    <t>Rajahmundry</t>
  </si>
  <si>
    <t>Nandhana Palace</t>
  </si>
  <si>
    <t>HSR Layout</t>
  </si>
  <si>
    <t>Itanagar</t>
  </si>
  <si>
    <t>Sukh Sagar</t>
  </si>
  <si>
    <t>Jayanagar</t>
  </si>
  <si>
    <t>Himachal Pradesh</t>
  </si>
  <si>
    <t>Tawang</t>
  </si>
  <si>
    <t>The Filter Coffee</t>
  </si>
  <si>
    <t>BTM Layout</t>
  </si>
  <si>
    <t>North Indian Gravy</t>
  </si>
  <si>
    <t>Paneer Butter Masala</t>
  </si>
  <si>
    <t>Pasighat</t>
  </si>
  <si>
    <t>Brahmin's Coffee Bar</t>
  </si>
  <si>
    <t>Rajajinagar</t>
  </si>
  <si>
    <t>Bomdila</t>
  </si>
  <si>
    <t>MTR</t>
  </si>
  <si>
    <t>Yelahanka</t>
  </si>
  <si>
    <t>Ziro</t>
  </si>
  <si>
    <t>Corner House</t>
  </si>
  <si>
    <t>Hebbal</t>
  </si>
  <si>
    <t>Palak Paneer</t>
  </si>
  <si>
    <t>Madhya Pradesh</t>
  </si>
  <si>
    <t>Naharlagun</t>
  </si>
  <si>
    <t>KFC</t>
  </si>
  <si>
    <t>Banashankari</t>
  </si>
  <si>
    <t>Maharashtra</t>
  </si>
  <si>
    <t>Roing</t>
  </si>
  <si>
    <t>McDonald's</t>
  </si>
  <si>
    <t>Malleshwaram</t>
  </si>
  <si>
    <t>Manipur</t>
  </si>
  <si>
    <t>Shimla</t>
  </si>
  <si>
    <t>Domino's Pizza</t>
  </si>
  <si>
    <t>Bellandur</t>
  </si>
  <si>
    <t>Meghalaya</t>
  </si>
  <si>
    <t>Manali</t>
  </si>
  <si>
    <t>Pizza Hut</t>
  </si>
  <si>
    <t>South Indian</t>
  </si>
  <si>
    <t>Malai Kofta</t>
  </si>
  <si>
    <t>Mizoram</t>
  </si>
  <si>
    <t>Dharamshala</t>
  </si>
  <si>
    <t>Burger King</t>
  </si>
  <si>
    <t>Mandi</t>
  </si>
  <si>
    <t>Subway</t>
  </si>
  <si>
    <t>Mushroom Masala</t>
  </si>
  <si>
    <t>Solan</t>
  </si>
  <si>
    <t>Barbeque Nation</t>
  </si>
  <si>
    <t>Veg Kofta</t>
  </si>
  <si>
    <t>Kullu</t>
  </si>
  <si>
    <t>Absolute Barbecues</t>
  </si>
  <si>
    <t>Bilaspur</t>
  </si>
  <si>
    <t>Beverages</t>
  </si>
  <si>
    <t>Bhopal</t>
  </si>
  <si>
    <t>Mumbai</t>
  </si>
  <si>
    <t>Telangana</t>
  </si>
  <si>
    <t>Imphal</t>
  </si>
  <si>
    <t>Dessert</t>
  </si>
  <si>
    <t>Tripura</t>
  </si>
  <si>
    <t>Shillong</t>
  </si>
  <si>
    <t>Uttar Pradesh</t>
  </si>
  <si>
    <t>Aizawl</t>
  </si>
  <si>
    <t>Lunglei</t>
  </si>
  <si>
    <t>Chinese</t>
  </si>
  <si>
    <t>Champhai</t>
  </si>
  <si>
    <t>Kolasib</t>
  </si>
  <si>
    <t>Chana Masala</t>
  </si>
  <si>
    <t>Serchhip</t>
  </si>
  <si>
    <t>Saiha</t>
  </si>
  <si>
    <t>Lawngtlai</t>
  </si>
  <si>
    <t>Chhattisgarh</t>
  </si>
  <si>
    <t>Hyderabad</t>
  </si>
  <si>
    <t>Goa</t>
  </si>
  <si>
    <t>Warangal</t>
  </si>
  <si>
    <t>Gujarat</t>
  </si>
  <si>
    <t>Agartala</t>
  </si>
  <si>
    <t>Jeera Rice</t>
  </si>
  <si>
    <t>Haryana</t>
  </si>
  <si>
    <t>Lucknow</t>
  </si>
  <si>
    <t>Veg Biryani</t>
  </si>
  <si>
    <t>Kanpur</t>
  </si>
  <si>
    <t>Jharkhand</t>
  </si>
  <si>
    <t>Varanasi</t>
  </si>
  <si>
    <t>Prayagraj</t>
  </si>
  <si>
    <t>Noida</t>
  </si>
  <si>
    <t>Ghaziabad</t>
  </si>
  <si>
    <t>Raipur</t>
  </si>
  <si>
    <t>Panaji</t>
  </si>
  <si>
    <t>Ahmedabad</t>
  </si>
  <si>
    <t>Surat</t>
  </si>
  <si>
    <t>Nagaland</t>
  </si>
  <si>
    <t>Gurugram</t>
  </si>
  <si>
    <t>Odisha</t>
  </si>
  <si>
    <t>Punjab</t>
  </si>
  <si>
    <t>Ranchi</t>
  </si>
  <si>
    <t>Jamshedpur</t>
  </si>
  <si>
    <t>Dhanbad</t>
  </si>
  <si>
    <t>Bokaro</t>
  </si>
  <si>
    <t>Deoghar</t>
  </si>
  <si>
    <t>Hazaribagh</t>
  </si>
  <si>
    <t>Uttarakhand</t>
  </si>
  <si>
    <t>Kohima</t>
  </si>
  <si>
    <t>West Bengal</t>
  </si>
  <si>
    <t>Bhubaneswar</t>
  </si>
  <si>
    <t>Rajasthan</t>
  </si>
  <si>
    <t>Ludhiana</t>
  </si>
  <si>
    <t>Sikkim</t>
  </si>
  <si>
    <t>Amritsar</t>
  </si>
  <si>
    <t>Tamil Nadu</t>
  </si>
  <si>
    <t>Jalandhar</t>
  </si>
  <si>
    <t>Patiala</t>
  </si>
  <si>
    <t>Mohali</t>
  </si>
  <si>
    <t>Bathinda</t>
  </si>
  <si>
    <t>Dehradun</t>
  </si>
  <si>
    <t>Kolkata</t>
  </si>
  <si>
    <t>Jaipur</t>
  </si>
  <si>
    <t>Assam</t>
  </si>
  <si>
    <t>Gangtok</t>
  </si>
  <si>
    <t>Bihar</t>
  </si>
  <si>
    <t>Chennai</t>
  </si>
  <si>
    <t>Karimnagar</t>
  </si>
  <si>
    <t>Nizamabad</t>
  </si>
  <si>
    <t>Khammam</t>
  </si>
  <si>
    <t>Guwahati</t>
  </si>
  <si>
    <t>Patna</t>
  </si>
  <si>
    <t>Karnataka</t>
  </si>
  <si>
    <t>Kerala</t>
  </si>
  <si>
    <t>Bengaluru</t>
  </si>
  <si>
    <t>Coimbatore</t>
  </si>
  <si>
    <t>Madurai</t>
  </si>
  <si>
    <t>Salem</t>
  </si>
  <si>
    <t>Tiruchirappalli</t>
  </si>
  <si>
    <t>Durg</t>
  </si>
  <si>
    <t>Korba</t>
  </si>
  <si>
    <t>Jagdalpur</t>
  </si>
  <si>
    <t>Margao</t>
  </si>
  <si>
    <t>Vasco da Gama</t>
  </si>
  <si>
    <t>Mapusa</t>
  </si>
  <si>
    <t>Ponda</t>
  </si>
  <si>
    <t>Dibrugarh</t>
  </si>
  <si>
    <t>Silchar</t>
  </si>
  <si>
    <t>Jorhat</t>
  </si>
  <si>
    <t>Tezpur</t>
  </si>
  <si>
    <t>Nagaon</t>
  </si>
  <si>
    <t>Dimapur</t>
  </si>
  <si>
    <t>Mokokchung</t>
  </si>
  <si>
    <t>Tuensang</t>
  </si>
  <si>
    <t>Wokha</t>
  </si>
  <si>
    <t>Zunheboto</t>
  </si>
  <si>
    <t>Gaya</t>
  </si>
  <si>
    <t>Muzaffarpur</t>
  </si>
  <si>
    <t>Bhagalpur</t>
  </si>
  <si>
    <t>Darbhanga</t>
  </si>
  <si>
    <t>Purnia</t>
  </si>
  <si>
    <t>Ara</t>
  </si>
  <si>
    <t>Begusarai</t>
  </si>
  <si>
    <t>Katihar</t>
  </si>
  <si>
    <t>Sasaram</t>
  </si>
  <si>
    <t>Sum of Price</t>
  </si>
  <si>
    <t>Average of Rating</t>
  </si>
  <si>
    <t>Sum of Rating count</t>
  </si>
  <si>
    <t>Count of DishNmae</t>
  </si>
  <si>
    <t>AOV</t>
  </si>
  <si>
    <t>KPI'S</t>
  </si>
  <si>
    <t>S</t>
  </si>
  <si>
    <t>Orders</t>
  </si>
  <si>
    <t>Avg Rating</t>
  </si>
  <si>
    <t>Rating Count</t>
  </si>
  <si>
    <t>Total sales</t>
  </si>
  <si>
    <t>Aov</t>
  </si>
  <si>
    <t>(All)</t>
  </si>
  <si>
    <t>₹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</si>
  <si>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</si>
  <si>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</si>
  <si>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</si>
  <si>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</si>
  <si>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</si>
  <si>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</si>
  <si>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</si>
  <si>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</si>
  <si>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</si>
  <si>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</si>
  <si>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</si>
  <si>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</si>
  <si>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</si>
  <si>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</si>
  <si>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Order Date</t>
  </si>
  <si>
    <t>food type</t>
  </si>
  <si>
    <t>Butter Chicken</t>
  </si>
  <si>
    <t>Chicken Curry</t>
  </si>
  <si>
    <t>Chicken Biryani</t>
  </si>
  <si>
    <t>Chicken Tikka Masala</t>
  </si>
  <si>
    <t>Chicken Korma</t>
  </si>
  <si>
    <t>Chicken Fried Rice</t>
  </si>
  <si>
    <t>Chicken Noodles</t>
  </si>
  <si>
    <t>Chicken Lollipop</t>
  </si>
  <si>
    <t>Chicken Manchurian</t>
  </si>
  <si>
    <t>Chicken 65</t>
  </si>
  <si>
    <t>Mutton Biryani</t>
  </si>
  <si>
    <t>Mutton Curry</t>
  </si>
  <si>
    <t>Mutton Kebab</t>
  </si>
  <si>
    <t>Mutton Rogan Josh</t>
  </si>
  <si>
    <t>Fish Curry</t>
  </si>
  <si>
    <t>Fish Fry</t>
  </si>
  <si>
    <t>Fish Biryani</t>
  </si>
  <si>
    <t>Prawn Masala</t>
  </si>
  <si>
    <t>Prawn Biryani</t>
  </si>
  <si>
    <t>Egg Curry</t>
  </si>
  <si>
    <t>Egg Bhurji</t>
  </si>
  <si>
    <t>Egg Biryani</t>
  </si>
  <si>
    <t>Non Veg</t>
  </si>
  <si>
    <t>Veg</t>
  </si>
  <si>
    <t>Paneer Tikka Masala</t>
  </si>
  <si>
    <t>Paneer Korma</t>
  </si>
  <si>
    <t>Paneer Fried Rice</t>
  </si>
  <si>
    <t>Hakka Noodles</t>
  </si>
  <si>
    <t>Veg Lollipop</t>
  </si>
  <si>
    <t>Veg Manchurian</t>
  </si>
  <si>
    <t>Chilli Paneer</t>
  </si>
  <si>
    <t>Dal Makhani</t>
  </si>
  <si>
    <t>Paneer Kebab</t>
  </si>
  <si>
    <t>Veg Kurma</t>
  </si>
  <si>
    <t>Aloo Fry</t>
  </si>
  <si>
    <t>Mix Veg Biryani</t>
  </si>
  <si>
    <t>Veg Pulao</t>
  </si>
  <si>
    <t>Eggless Curry</t>
  </si>
  <si>
    <t>Paneer Bhurji</t>
  </si>
  <si>
    <t>Kashmiri Pulao</t>
  </si>
  <si>
    <t>Dal Fry</t>
  </si>
  <si>
    <t>Navratan Korma</t>
  </si>
  <si>
    <t>Mushroom Fried Rice</t>
  </si>
  <si>
    <t>Veg Noodles</t>
  </si>
  <si>
    <t>Crispy Corn</t>
  </si>
  <si>
    <t>\</t>
  </si>
  <si>
    <t>Day</t>
  </si>
  <si>
    <t>Sunday</t>
  </si>
  <si>
    <t>Tuesday</t>
  </si>
  <si>
    <t>Thursday</t>
  </si>
  <si>
    <t>Friday</t>
  </si>
  <si>
    <t>Monday</t>
  </si>
  <si>
    <t>Wednesday</t>
  </si>
  <si>
    <t>Saturday</t>
  </si>
  <si>
    <t>Date</t>
  </si>
  <si>
    <t>Quarter</t>
  </si>
  <si>
    <t>Q1</t>
  </si>
  <si>
    <t>Q2</t>
  </si>
  <si>
    <t>Q3</t>
  </si>
  <si>
    <t>Q4</t>
  </si>
  <si>
    <t>Sum of Rating</t>
  </si>
  <si>
    <t>Count of Location</t>
  </si>
  <si>
    <t>Sales</t>
  </si>
  <si>
    <t>Price+J89J2:L141</t>
  </si>
  <si>
    <t>Sum of 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</si>
</sst>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0.00,,&quot;M&quot;"/>
    <numFmt numFmtId="165" formatCode="&quot;₹ &quot;0.00,,&quot;M&quot;\ "/>
    <numFmt numFmtId="166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/>
    <xf numFmtId="0" fontId="0" fillId="3" borderId="5" xfId="0" applyFill="1" applyBorder="1"/>
    <xf numFmtId="14" fontId="0" fillId="3" borderId="5" xfId="0" applyNumberFormat="1" applyFill="1" applyBorder="1"/>
    <xf numFmtId="0" fontId="0" fillId="3" borderId="6" xfId="0" applyFill="1" applyBorder="1"/>
    <xf numFmtId="0" fontId="0" fillId="4" borderId="4" xfId="0" applyFill="1" applyBorder="1"/>
    <xf numFmtId="0" fontId="0" fillId="4" borderId="5" xfId="0" applyFill="1" applyBorder="1"/>
    <xf numFmtId="14" fontId="0" fillId="4" borderId="5" xfId="0" applyNumberFormat="1" applyFill="1" applyBorder="1"/>
    <xf numFmtId="0" fontId="0" fillId="4" borderId="6" xfId="0" applyFill="1" applyBorder="1"/>
    <xf numFmtId="0" fontId="0" fillId="0" borderId="0" xfId="0" applyNumberFormat="1"/>
    <xf numFmtId="0" fontId="0" fillId="5" borderId="0" xfId="0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7" xfId="0" applyFill="1" applyBorder="1"/>
    <xf numFmtId="14" fontId="1" fillId="2" borderId="2" xfId="0" applyNumberFormat="1" applyFont="1" applyFill="1" applyBorder="1"/>
    <xf numFmtId="0" fontId="0" fillId="0" borderId="0" xfId="0" applyBorder="1"/>
    <xf numFmtId="0" fontId="0" fillId="0" borderId="8" xfId="0" pivotButton="1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8" xfId="0" applyNumberFormat="1" applyBorder="1"/>
    <xf numFmtId="0" fontId="0" fillId="4" borderId="0" xfId="0" applyFill="1" applyBorder="1"/>
  </cellXfs>
  <cellStyles count="1">
    <cellStyle name="Normal" xfId="0" builtinId="0"/>
  </cellStyles>
  <dxfs count="3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theme="8" tint="0.59999389629810485"/>
          <bgColor theme="8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8" tint="0.59999389629810485"/>
          <bgColor theme="8" tint="0.59999389629810485"/>
        </patternFill>
      </fill>
    </dxf>
    <dxf>
      <border outline="0">
        <bottom style="thin">
          <color theme="0"/>
        </bottom>
      </border>
    </dxf>
    <dxf>
      <border outline="0">
        <left style="thin">
          <color theme="0"/>
        </left>
        <right style="thin">
          <color theme="0"/>
        </right>
        <top style="thin">
          <color theme="0"/>
        </top>
      </border>
    </dxf>
  </dxfs>
  <tableStyles count="0" defaultTableStyle="TableStyleMedium2" defaultPivotStyle="PivotStyleLight16"/>
  <colors>
    <mruColors>
      <color rgb="FF00FF00"/>
      <color rgb="FF3657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2.xlsx]Sheet2!PivotTable1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709713524615393"/>
          <c:y val="0.15282049475359208"/>
          <c:w val="0.62804089787284056"/>
          <c:h val="0.65502182049728996"/>
        </c:manualLayout>
      </c:layout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Sheet2!$A$4:$A$16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Sheet2!$B$4:$B$16</c:f>
              <c:numCache>
                <c:formatCode>General</c:formatCode>
                <c:ptCount val="12"/>
                <c:pt idx="0">
                  <c:v>16273.181818181827</c:v>
                </c:pt>
                <c:pt idx="1">
                  <c:v>22280.454545454573</c:v>
                </c:pt>
                <c:pt idx="2">
                  <c:v>19690.000000000015</c:v>
                </c:pt>
                <c:pt idx="3">
                  <c:v>16923.181818181831</c:v>
                </c:pt>
                <c:pt idx="4">
                  <c:v>17188.181818181827</c:v>
                </c:pt>
                <c:pt idx="5">
                  <c:v>17578.181818181823</c:v>
                </c:pt>
                <c:pt idx="6">
                  <c:v>17573.181818181831</c:v>
                </c:pt>
                <c:pt idx="7">
                  <c:v>17828.181818181838</c:v>
                </c:pt>
                <c:pt idx="8">
                  <c:v>18143.181818181838</c:v>
                </c:pt>
                <c:pt idx="9">
                  <c:v>18298.181818181834</c:v>
                </c:pt>
                <c:pt idx="10">
                  <c:v>18593.181818181831</c:v>
                </c:pt>
                <c:pt idx="11">
                  <c:v>18796.363636363647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C3-46CB-B114-8F2B8433A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580087104"/>
        <c:axId val="580083496"/>
      </c:lineChart>
      <c:catAx>
        <c:axId val="58008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83496"/>
        <c:crosses val="autoZero"/>
        <c:auto val="1"/>
        <c:lblAlgn val="ctr"/>
        <c:lblOffset val="100"/>
        <c:noMultiLvlLbl val="0"/>
      </c:catAx>
      <c:valAx>
        <c:axId val="580083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8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2.xlsx]Sheet2!PivotTable1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709713524615393"/>
          <c:y val="0.15282049475359208"/>
          <c:w val="0.62804089787284056"/>
          <c:h val="0.65502182049728996"/>
        </c:manualLayout>
      </c:layout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Sheet2!$A$4:$A$16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Sheet2!$B$4:$B$16</c:f>
              <c:numCache>
                <c:formatCode>General</c:formatCode>
                <c:ptCount val="12"/>
                <c:pt idx="0">
                  <c:v>16273.181818181827</c:v>
                </c:pt>
                <c:pt idx="1">
                  <c:v>22280.454545454573</c:v>
                </c:pt>
                <c:pt idx="2">
                  <c:v>19690.000000000015</c:v>
                </c:pt>
                <c:pt idx="3">
                  <c:v>16923.181818181831</c:v>
                </c:pt>
                <c:pt idx="4">
                  <c:v>17188.181818181827</c:v>
                </c:pt>
                <c:pt idx="5">
                  <c:v>17578.181818181823</c:v>
                </c:pt>
                <c:pt idx="6">
                  <c:v>17573.181818181831</c:v>
                </c:pt>
                <c:pt idx="7">
                  <c:v>17828.181818181838</c:v>
                </c:pt>
                <c:pt idx="8">
                  <c:v>18143.181818181838</c:v>
                </c:pt>
                <c:pt idx="9">
                  <c:v>18298.181818181834</c:v>
                </c:pt>
                <c:pt idx="10">
                  <c:v>18593.181818181831</c:v>
                </c:pt>
                <c:pt idx="11">
                  <c:v>18796.363636363647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9A-4E0E-95C4-38628B632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580087104"/>
        <c:axId val="580083496"/>
      </c:lineChart>
      <c:catAx>
        <c:axId val="58008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83496"/>
        <c:crosses val="autoZero"/>
        <c:auto val="1"/>
        <c:lblAlgn val="ctr"/>
        <c:lblOffset val="100"/>
        <c:noMultiLvlLbl val="0"/>
      </c:catAx>
      <c:valAx>
        <c:axId val="580083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8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2.xlsx]Sheet3!PivotTable2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12</c:v>
                </c:pt>
                <c:pt idx="1">
                  <c:v>15</c:v>
                </c:pt>
                <c:pt idx="2">
                  <c:v>14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DA-4EC4-9712-26139F24A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8075096"/>
        <c:axId val="618075424"/>
      </c:lineChart>
      <c:catAx>
        <c:axId val="618075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075424"/>
        <c:crosses val="autoZero"/>
        <c:auto val="1"/>
        <c:lblAlgn val="ctr"/>
        <c:lblOffset val="100"/>
        <c:noMultiLvlLbl val="0"/>
      </c:catAx>
      <c:valAx>
        <c:axId val="61807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075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[Dashboard 2.xlsx]Sheet4!PivotTable3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dk1">
                <a:tint val="88500"/>
              </a:schemeClr>
            </a:solidFill>
          </a:ln>
          <a:effectLst>
            <a:glow rad="139700">
              <a:schemeClr val="dk1">
                <a:tint val="88500"/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dk1">
                <a:tint val="885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dk1">
                  <a:tint val="885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dk1">
                  <a:tint val="88500"/>
                </a:schemeClr>
              </a:solidFill>
            </a:ln>
            <a:effectLst>
              <a:glow rad="139700">
                <a:schemeClr val="dk1">
                  <a:tint val="885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dk1">
                  <a:tint val="885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dk1">
                    <a:tint val="88500"/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Sheet4!$A$4:$A$6</c:f>
              <c:strCache>
                <c:ptCount val="2"/>
                <c:pt idx="0">
                  <c:v>Non Veg</c:v>
                </c:pt>
                <c:pt idx="1">
                  <c:v>Veg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138650.00000000009</c:v>
                </c:pt>
                <c:pt idx="1">
                  <c:v>80515.454545454617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74-46C8-9DFE-7E179A8B0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180768"/>
        <c:axId val="617181752"/>
      </c:lineChart>
      <c:catAx>
        <c:axId val="6171807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81752"/>
        <c:crosses val="autoZero"/>
        <c:auto val="1"/>
        <c:lblAlgn val="ctr"/>
        <c:lblOffset val="100"/>
        <c:noMultiLvlLbl val="0"/>
      </c:catAx>
      <c:valAx>
        <c:axId val="6171817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8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2.xlsx]Sheet4!PivotTable3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Sheet4!$A$4:$A$6</c:f>
              <c:strCache>
                <c:ptCount val="2"/>
                <c:pt idx="0">
                  <c:v>Non Veg</c:v>
                </c:pt>
                <c:pt idx="1">
                  <c:v>Veg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138650.00000000009</c:v>
                </c:pt>
                <c:pt idx="1">
                  <c:v>80515.454545454617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1-4C18-A5D1-70010E9D0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2.xlsx]Sheet5!PivotTable5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Sheet5!$B$4:$B$11</c:f>
              <c:numCache>
                <c:formatCode>General</c:formatCode>
                <c:ptCount val="7"/>
                <c:pt idx="0">
                  <c:v>39174.090909090941</c:v>
                </c:pt>
                <c:pt idx="1">
                  <c:v>22946.363636363651</c:v>
                </c:pt>
                <c:pt idx="2">
                  <c:v>47628.181818181845</c:v>
                </c:pt>
                <c:pt idx="3">
                  <c:v>22881.363636363665</c:v>
                </c:pt>
                <c:pt idx="4">
                  <c:v>41543.636363636411</c:v>
                </c:pt>
                <c:pt idx="5">
                  <c:v>30091.818181818198</c:v>
                </c:pt>
                <c:pt idx="6">
                  <c:v>14900.00000000002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8C-4C42-8B6A-53F325BA2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1706912"/>
        <c:axId val="591710848"/>
      </c:lineChart>
      <c:catAx>
        <c:axId val="59170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710848"/>
        <c:crosses val="autoZero"/>
        <c:auto val="1"/>
        <c:lblAlgn val="ctr"/>
        <c:lblOffset val="100"/>
        <c:noMultiLvlLbl val="0"/>
      </c:catAx>
      <c:valAx>
        <c:axId val="59171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70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2.xlsx]Sheet6!PivotTable9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Count of Location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38</c:v>
                </c:pt>
                <c:pt idx="1">
                  <c:v>37</c:v>
                </c:pt>
                <c:pt idx="2">
                  <c:v>37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8-4B9F-A2CE-91C002227DD4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Sum of Rating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Sheet6!$A$4:$A$8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Sheet6!$C$4:$C$8</c:f>
              <c:numCache>
                <c:formatCode>General</c:formatCode>
                <c:ptCount val="4"/>
                <c:pt idx="0">
                  <c:v>12594.454545454559</c:v>
                </c:pt>
                <c:pt idx="1">
                  <c:v>12654.945454545466</c:v>
                </c:pt>
                <c:pt idx="2">
                  <c:v>12960.636363636379</c:v>
                </c:pt>
                <c:pt idx="3">
                  <c:v>13443.363636363651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B8-4B9F-A2CE-91C002227DD4}"/>
            </c:ext>
          </c:extLst>
        </c:ser>
        <c:ser>
          <c:idx val="2"/>
          <c:order val="2"/>
          <c:tx>
            <c:strRef>
              <c:f>Sheet6!$D$3</c:f>
              <c:strCache>
                <c:ptCount val="1"/>
                <c:pt idx="0">
                  <c:v>Sum of 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Sheet6!$A$4:$A$8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Sheet6!$D$4:$D$8</c:f>
              <c:numCache>
                <c:formatCode>General</c:formatCode>
                <c:ptCount val="4"/>
                <c:pt idx="0">
                  <c:v>54002.727272727279</c:v>
                </c:pt>
                <c:pt idx="1">
                  <c:v>53198.636363636426</c:v>
                </c:pt>
                <c:pt idx="2">
                  <c:v>54958.181818181904</c:v>
                </c:pt>
                <c:pt idx="3">
                  <c:v>57005.909090909139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B8-4B9F-A2CE-91C002227DD4}"/>
            </c:ext>
          </c:extLst>
        </c:ser>
        <c:ser>
          <c:idx val="3"/>
          <c:order val="3"/>
          <c:tx>
            <c:strRef>
              <c:f>Sheet6!$E$3</c:f>
              <c:strCache>
                <c:ptCount val="1"/>
                <c:pt idx="0">
                  <c:v>Sum of Rating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Sheet6!$A$4:$A$8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Sheet6!$E$4:$E$8</c:f>
              <c:numCache>
                <c:formatCode>General</c:formatCode>
                <c:ptCount val="4"/>
                <c:pt idx="0">
                  <c:v>186.46818181818188</c:v>
                </c:pt>
                <c:pt idx="1">
                  <c:v>181.14000000000004</c:v>
                </c:pt>
                <c:pt idx="2">
                  <c:v>180.76454545454541</c:v>
                </c:pt>
                <c:pt idx="3">
                  <c:v>177.58090909090913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B8-4B9F-A2CE-91C002227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717520"/>
        <c:axId val="524718504"/>
      </c:barChart>
      <c:catAx>
        <c:axId val="52471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718504"/>
        <c:crosses val="autoZero"/>
        <c:auto val="1"/>
        <c:lblAlgn val="ctr"/>
        <c:lblOffset val="100"/>
        <c:noMultiLvlLbl val="0"/>
      </c:catAx>
      <c:valAx>
        <c:axId val="524718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71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2.xlsx]Sheet13!PivotTable13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Sheet13!$A$4:$A$105</c:f>
              <c:strCache>
                <c:ptCount val="101"/>
                <c:pt idx="0">
                  <c:v>Agartala</c:v>
                </c:pt>
                <c:pt idx="1">
                  <c:v>Ahmedabad</c:v>
                </c:pt>
                <c:pt idx="2">
                  <c:v>Aizawl</c:v>
                </c:pt>
                <c:pt idx="3">
                  <c:v>Amritsar</c:v>
                </c:pt>
                <c:pt idx="4">
                  <c:v>Ara</c:v>
                </c:pt>
                <c:pt idx="5">
                  <c:v>Bathinda</c:v>
                </c:pt>
                <c:pt idx="6">
                  <c:v>Begusarai</c:v>
                </c:pt>
                <c:pt idx="7">
                  <c:v>Bengaluru</c:v>
                </c:pt>
                <c:pt idx="8">
                  <c:v>Bhagalpur</c:v>
                </c:pt>
                <c:pt idx="9">
                  <c:v>Bhopal</c:v>
                </c:pt>
                <c:pt idx="10">
                  <c:v>Bhubaneswar</c:v>
                </c:pt>
                <c:pt idx="11">
                  <c:v>Bilaspur</c:v>
                </c:pt>
                <c:pt idx="12">
                  <c:v>Bokaro</c:v>
                </c:pt>
                <c:pt idx="13">
                  <c:v>Bomdila</c:v>
                </c:pt>
                <c:pt idx="14">
                  <c:v>Champhai</c:v>
                </c:pt>
                <c:pt idx="15">
                  <c:v>Chennai</c:v>
                </c:pt>
                <c:pt idx="16">
                  <c:v>Coimbatore</c:v>
                </c:pt>
                <c:pt idx="17">
                  <c:v>Darbhanga</c:v>
                </c:pt>
                <c:pt idx="18">
                  <c:v>Dehradun</c:v>
                </c:pt>
                <c:pt idx="19">
                  <c:v>Deoghar</c:v>
                </c:pt>
                <c:pt idx="20">
                  <c:v>Dhanbad</c:v>
                </c:pt>
                <c:pt idx="21">
                  <c:v>Dharamshala</c:v>
                </c:pt>
                <c:pt idx="22">
                  <c:v>Dibrugarh</c:v>
                </c:pt>
                <c:pt idx="23">
                  <c:v>Dimapur</c:v>
                </c:pt>
                <c:pt idx="24">
                  <c:v>Durg</c:v>
                </c:pt>
                <c:pt idx="25">
                  <c:v>Gangtok</c:v>
                </c:pt>
                <c:pt idx="26">
                  <c:v>Gaya</c:v>
                </c:pt>
                <c:pt idx="27">
                  <c:v>Ghaziabad</c:v>
                </c:pt>
                <c:pt idx="28">
                  <c:v>Guntur</c:v>
                </c:pt>
                <c:pt idx="29">
                  <c:v>Gurugram</c:v>
                </c:pt>
                <c:pt idx="30">
                  <c:v>Guwahati</c:v>
                </c:pt>
                <c:pt idx="31">
                  <c:v>Hazaribagh</c:v>
                </c:pt>
                <c:pt idx="32">
                  <c:v>Hyderabad</c:v>
                </c:pt>
                <c:pt idx="33">
                  <c:v>Imphal</c:v>
                </c:pt>
                <c:pt idx="34">
                  <c:v>Itanagar</c:v>
                </c:pt>
                <c:pt idx="35">
                  <c:v>Jagdalpur</c:v>
                </c:pt>
                <c:pt idx="36">
                  <c:v>Jaipur</c:v>
                </c:pt>
                <c:pt idx="37">
                  <c:v>Jalandhar</c:v>
                </c:pt>
                <c:pt idx="38">
                  <c:v>Jamshedpur</c:v>
                </c:pt>
                <c:pt idx="39">
                  <c:v>Jorhat</c:v>
                </c:pt>
                <c:pt idx="40">
                  <c:v>Kakinada</c:v>
                </c:pt>
                <c:pt idx="41">
                  <c:v>Kanpur</c:v>
                </c:pt>
                <c:pt idx="42">
                  <c:v>Karimnagar</c:v>
                </c:pt>
                <c:pt idx="43">
                  <c:v>Katihar</c:v>
                </c:pt>
                <c:pt idx="44">
                  <c:v>Khammam</c:v>
                </c:pt>
                <c:pt idx="45">
                  <c:v>Kohima</c:v>
                </c:pt>
                <c:pt idx="46">
                  <c:v>Kolasib</c:v>
                </c:pt>
                <c:pt idx="47">
                  <c:v>Kolkata</c:v>
                </c:pt>
                <c:pt idx="48">
                  <c:v>Korba</c:v>
                </c:pt>
                <c:pt idx="49">
                  <c:v>Kullu</c:v>
                </c:pt>
                <c:pt idx="50">
                  <c:v>Lawngtlai</c:v>
                </c:pt>
                <c:pt idx="51">
                  <c:v>Lucknow</c:v>
                </c:pt>
                <c:pt idx="52">
                  <c:v>Ludhiana</c:v>
                </c:pt>
                <c:pt idx="53">
                  <c:v>Lunglei</c:v>
                </c:pt>
                <c:pt idx="54">
                  <c:v>Madurai</c:v>
                </c:pt>
                <c:pt idx="55">
                  <c:v>Manali</c:v>
                </c:pt>
                <c:pt idx="56">
                  <c:v>Mandi</c:v>
                </c:pt>
                <c:pt idx="57">
                  <c:v>Mapusa</c:v>
                </c:pt>
                <c:pt idx="58">
                  <c:v>Margao</c:v>
                </c:pt>
                <c:pt idx="59">
                  <c:v>Mohali</c:v>
                </c:pt>
                <c:pt idx="60">
                  <c:v>Mokokchung</c:v>
                </c:pt>
                <c:pt idx="61">
                  <c:v>Mumbai</c:v>
                </c:pt>
                <c:pt idx="62">
                  <c:v>Muzaffarpur</c:v>
                </c:pt>
                <c:pt idx="63">
                  <c:v>Nagaon</c:v>
                </c:pt>
                <c:pt idx="64">
                  <c:v>Naharlagun</c:v>
                </c:pt>
                <c:pt idx="65">
                  <c:v>Nellore</c:v>
                </c:pt>
                <c:pt idx="66">
                  <c:v>Nizamabad</c:v>
                </c:pt>
                <c:pt idx="67">
                  <c:v>Noida</c:v>
                </c:pt>
                <c:pt idx="68">
                  <c:v>Panaji</c:v>
                </c:pt>
                <c:pt idx="69">
                  <c:v>Pasighat</c:v>
                </c:pt>
                <c:pt idx="70">
                  <c:v>Patiala</c:v>
                </c:pt>
                <c:pt idx="71">
                  <c:v>Patna</c:v>
                </c:pt>
                <c:pt idx="72">
                  <c:v>Ponda</c:v>
                </c:pt>
                <c:pt idx="73">
                  <c:v>Prayagraj</c:v>
                </c:pt>
                <c:pt idx="74">
                  <c:v>Purnia</c:v>
                </c:pt>
                <c:pt idx="75">
                  <c:v>Raipur</c:v>
                </c:pt>
                <c:pt idx="76">
                  <c:v>Rajahmundry</c:v>
                </c:pt>
                <c:pt idx="77">
                  <c:v>Ranchi</c:v>
                </c:pt>
                <c:pt idx="78">
                  <c:v>Roing</c:v>
                </c:pt>
                <c:pt idx="79">
                  <c:v>Saiha</c:v>
                </c:pt>
                <c:pt idx="80">
                  <c:v>Salem</c:v>
                </c:pt>
                <c:pt idx="81">
                  <c:v>Sasaram</c:v>
                </c:pt>
                <c:pt idx="82">
                  <c:v>Serchhip</c:v>
                </c:pt>
                <c:pt idx="83">
                  <c:v>Shillong</c:v>
                </c:pt>
                <c:pt idx="84">
                  <c:v>Shimla</c:v>
                </c:pt>
                <c:pt idx="85">
                  <c:v>Silchar</c:v>
                </c:pt>
                <c:pt idx="86">
                  <c:v>Solan</c:v>
                </c:pt>
                <c:pt idx="87">
                  <c:v>Surat</c:v>
                </c:pt>
                <c:pt idx="88">
                  <c:v>Tawang</c:v>
                </c:pt>
                <c:pt idx="89">
                  <c:v>Tezpur</c:v>
                </c:pt>
                <c:pt idx="90">
                  <c:v>Tiruchirappalli</c:v>
                </c:pt>
                <c:pt idx="91">
                  <c:v>Tirupati</c:v>
                </c:pt>
                <c:pt idx="92">
                  <c:v>Tuensang</c:v>
                </c:pt>
                <c:pt idx="93">
                  <c:v>Varanasi</c:v>
                </c:pt>
                <c:pt idx="94">
                  <c:v>Vasco da Gama</c:v>
                </c:pt>
                <c:pt idx="95">
                  <c:v>Vijayawada</c:v>
                </c:pt>
                <c:pt idx="96">
                  <c:v>Visakhapatnam</c:v>
                </c:pt>
                <c:pt idx="97">
                  <c:v>Warangal</c:v>
                </c:pt>
                <c:pt idx="98">
                  <c:v>Wokha</c:v>
                </c:pt>
                <c:pt idx="99">
                  <c:v>Ziro</c:v>
                </c:pt>
                <c:pt idx="100">
                  <c:v>Zunheboto</c:v>
                </c:pt>
              </c:strCache>
            </c:strRef>
          </c:cat>
          <c:val>
            <c:numRef>
              <c:f>Sheet13!$B$4:$B$105</c:f>
              <c:numCache>
                <c:formatCode>General</c:formatCode>
                <c:ptCount val="101"/>
                <c:pt idx="0">
                  <c:v>2445.4545454545469</c:v>
                </c:pt>
                <c:pt idx="1">
                  <c:v>4374.5454545454586</c:v>
                </c:pt>
                <c:pt idx="2">
                  <c:v>4030.9090909090951</c:v>
                </c:pt>
                <c:pt idx="3">
                  <c:v>1146.3636363636399</c:v>
                </c:pt>
                <c:pt idx="4">
                  <c:v>2769.0909090909099</c:v>
                </c:pt>
                <c:pt idx="5">
                  <c:v>1222.72727272727</c:v>
                </c:pt>
                <c:pt idx="6">
                  <c:v>2788.1818181818198</c:v>
                </c:pt>
                <c:pt idx="7">
                  <c:v>2005.45454545455</c:v>
                </c:pt>
                <c:pt idx="8">
                  <c:v>2711.8181818181802</c:v>
                </c:pt>
                <c:pt idx="9">
                  <c:v>459.09090909090901</c:v>
                </c:pt>
                <c:pt idx="10">
                  <c:v>1108.1818181818201</c:v>
                </c:pt>
                <c:pt idx="11">
                  <c:v>2579.0909090909099</c:v>
                </c:pt>
                <c:pt idx="12">
                  <c:v>1012.72727272727</c:v>
                </c:pt>
                <c:pt idx="13">
                  <c:v>275</c:v>
                </c:pt>
                <c:pt idx="14">
                  <c:v>3037.2727272727329</c:v>
                </c:pt>
                <c:pt idx="15">
                  <c:v>5061.8181818181893</c:v>
                </c:pt>
                <c:pt idx="16">
                  <c:v>2043.6363636363701</c:v>
                </c:pt>
                <c:pt idx="17">
                  <c:v>2730.9090909090901</c:v>
                </c:pt>
                <c:pt idx="18">
                  <c:v>3037.2727272727298</c:v>
                </c:pt>
                <c:pt idx="19">
                  <c:v>1031.8181818181799</c:v>
                </c:pt>
                <c:pt idx="20">
                  <c:v>993.63636363636294</c:v>
                </c:pt>
                <c:pt idx="21">
                  <c:v>2025.454545454543</c:v>
                </c:pt>
                <c:pt idx="22">
                  <c:v>2330</c:v>
                </c:pt>
                <c:pt idx="23">
                  <c:v>2559.0909090909099</c:v>
                </c:pt>
                <c:pt idx="24">
                  <c:v>2158.1818181818198</c:v>
                </c:pt>
                <c:pt idx="25">
                  <c:v>2999.0909090909099</c:v>
                </c:pt>
                <c:pt idx="26">
                  <c:v>2673.6363636363699</c:v>
                </c:pt>
                <c:pt idx="27">
                  <c:v>821.81818181818198</c:v>
                </c:pt>
                <c:pt idx="28">
                  <c:v>75</c:v>
                </c:pt>
                <c:pt idx="29">
                  <c:v>4450.9090909090974</c:v>
                </c:pt>
                <c:pt idx="30">
                  <c:v>5653.6363636363603</c:v>
                </c:pt>
                <c:pt idx="31">
                  <c:v>1050.9090909090901</c:v>
                </c:pt>
                <c:pt idx="32">
                  <c:v>3744.5454545454586</c:v>
                </c:pt>
                <c:pt idx="33">
                  <c:v>497.27272727272702</c:v>
                </c:pt>
                <c:pt idx="34">
                  <c:v>3444.5454545454604</c:v>
                </c:pt>
                <c:pt idx="35">
                  <c:v>2196.3636363636401</c:v>
                </c:pt>
                <c:pt idx="36">
                  <c:v>1299.0909090909099</c:v>
                </c:pt>
                <c:pt idx="37">
                  <c:v>1165.45454545455</c:v>
                </c:pt>
                <c:pt idx="38">
                  <c:v>974.54545454545405</c:v>
                </c:pt>
                <c:pt idx="39">
                  <c:v>2368.1818181818198</c:v>
                </c:pt>
                <c:pt idx="40">
                  <c:v>130</c:v>
                </c:pt>
                <c:pt idx="41">
                  <c:v>745.45454545454504</c:v>
                </c:pt>
                <c:pt idx="42">
                  <c:v>1375.45454545455</c:v>
                </c:pt>
                <c:pt idx="43">
                  <c:v>2807.2727272727302</c:v>
                </c:pt>
                <c:pt idx="44">
                  <c:v>1413.6363636363701</c:v>
                </c:pt>
                <c:pt idx="45">
                  <c:v>3629.0909090909099</c:v>
                </c:pt>
                <c:pt idx="46">
                  <c:v>3075.4545454545428</c:v>
                </c:pt>
                <c:pt idx="47">
                  <c:v>4508.1818181818198</c:v>
                </c:pt>
                <c:pt idx="48">
                  <c:v>2177.2727272727302</c:v>
                </c:pt>
                <c:pt idx="49">
                  <c:v>420.90909090909099</c:v>
                </c:pt>
                <c:pt idx="50">
                  <c:v>650</c:v>
                </c:pt>
                <c:pt idx="51">
                  <c:v>3725.454545454546</c:v>
                </c:pt>
                <c:pt idx="52">
                  <c:v>1127.27272727273</c:v>
                </c:pt>
                <c:pt idx="53">
                  <c:v>2999.090909090914</c:v>
                </c:pt>
                <c:pt idx="54">
                  <c:v>2062.7272727272698</c:v>
                </c:pt>
                <c:pt idx="55">
                  <c:v>344.54545454545399</c:v>
                </c:pt>
                <c:pt idx="56">
                  <c:v>2006.3636363636431</c:v>
                </c:pt>
                <c:pt idx="57">
                  <c:v>2272.7272727272698</c:v>
                </c:pt>
                <c:pt idx="58">
                  <c:v>2234.54545454546</c:v>
                </c:pt>
                <c:pt idx="59">
                  <c:v>1203.6363636363701</c:v>
                </c:pt>
                <c:pt idx="60">
                  <c:v>2578.1818181818198</c:v>
                </c:pt>
                <c:pt idx="61">
                  <c:v>478.18181818181802</c:v>
                </c:pt>
                <c:pt idx="62">
                  <c:v>2692.7272727272698</c:v>
                </c:pt>
                <c:pt idx="63">
                  <c:v>2406.3636363636401</c:v>
                </c:pt>
                <c:pt idx="64">
                  <c:v>287.27272727272702</c:v>
                </c:pt>
                <c:pt idx="65">
                  <c:v>310</c:v>
                </c:pt>
                <c:pt idx="66">
                  <c:v>1394.54545454546</c:v>
                </c:pt>
                <c:pt idx="67">
                  <c:v>802.72727272727298</c:v>
                </c:pt>
                <c:pt idx="68">
                  <c:v>6532.7272727272793</c:v>
                </c:pt>
                <c:pt idx="69">
                  <c:v>190</c:v>
                </c:pt>
                <c:pt idx="70">
                  <c:v>1184.54545454546</c:v>
                </c:pt>
                <c:pt idx="71">
                  <c:v>6035.4545454545496</c:v>
                </c:pt>
                <c:pt idx="72">
                  <c:v>2291.8181818181802</c:v>
                </c:pt>
                <c:pt idx="73">
                  <c:v>783.63636363636294</c:v>
                </c:pt>
                <c:pt idx="74">
                  <c:v>2750</c:v>
                </c:pt>
                <c:pt idx="75">
                  <c:v>6380.0000000000009</c:v>
                </c:pt>
                <c:pt idx="76">
                  <c:v>95</c:v>
                </c:pt>
                <c:pt idx="77">
                  <c:v>2941.8181818181847</c:v>
                </c:pt>
                <c:pt idx="78">
                  <c:v>306.36363636363598</c:v>
                </c:pt>
                <c:pt idx="79">
                  <c:v>3151.8181818181811</c:v>
                </c:pt>
                <c:pt idx="80">
                  <c:v>2081.8181818181802</c:v>
                </c:pt>
                <c:pt idx="81">
                  <c:v>11420.00000000002</c:v>
                </c:pt>
                <c:pt idx="82">
                  <c:v>3113.6363636363621</c:v>
                </c:pt>
                <c:pt idx="83">
                  <c:v>516.36363636363603</c:v>
                </c:pt>
                <c:pt idx="84">
                  <c:v>4833.6363636363712</c:v>
                </c:pt>
                <c:pt idx="85">
                  <c:v>2349.0909090909099</c:v>
                </c:pt>
                <c:pt idx="86">
                  <c:v>2044.545454545452</c:v>
                </c:pt>
                <c:pt idx="87">
                  <c:v>898.18181818181802</c:v>
                </c:pt>
                <c:pt idx="88">
                  <c:v>245</c:v>
                </c:pt>
                <c:pt idx="89">
                  <c:v>2387.2727272727302</c:v>
                </c:pt>
                <c:pt idx="90">
                  <c:v>2100.9090909090901</c:v>
                </c:pt>
                <c:pt idx="91">
                  <c:v>110</c:v>
                </c:pt>
                <c:pt idx="92">
                  <c:v>2597.2727272727302</c:v>
                </c:pt>
                <c:pt idx="93">
                  <c:v>764.54545454545405</c:v>
                </c:pt>
                <c:pt idx="94">
                  <c:v>2253.6363636363699</c:v>
                </c:pt>
                <c:pt idx="95">
                  <c:v>65</c:v>
                </c:pt>
                <c:pt idx="96">
                  <c:v>3321.3636363636397</c:v>
                </c:pt>
                <c:pt idx="97">
                  <c:v>688.18181818181802</c:v>
                </c:pt>
                <c:pt idx="98">
                  <c:v>2616.3636363636401</c:v>
                </c:pt>
                <c:pt idx="99">
                  <c:v>268.18181818181802</c:v>
                </c:pt>
                <c:pt idx="100">
                  <c:v>2635.45454545455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4-4390-8201-39A53F597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6429936"/>
        <c:axId val="816429608"/>
      </c:barChart>
      <c:catAx>
        <c:axId val="81642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429608"/>
        <c:crosses val="autoZero"/>
        <c:auto val="1"/>
        <c:lblAlgn val="ctr"/>
        <c:lblOffset val="100"/>
        <c:noMultiLvlLbl val="0"/>
      </c:catAx>
      <c:valAx>
        <c:axId val="81642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42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2.xlsx]Sheet15!PivotTable15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Sheet15!$A$4:$A$14</c:f>
              <c:strCache>
                <c:ptCount val="10"/>
                <c:pt idx="0">
                  <c:v>Chicken Lollipop</c:v>
                </c:pt>
                <c:pt idx="1">
                  <c:v>Chicken Fried Rice</c:v>
                </c:pt>
                <c:pt idx="2">
                  <c:v>Chicken Noodles</c:v>
                </c:pt>
                <c:pt idx="3">
                  <c:v>Chicken Korma</c:v>
                </c:pt>
                <c:pt idx="4">
                  <c:v>Chicken Tikka Masala</c:v>
                </c:pt>
                <c:pt idx="5">
                  <c:v>Chicken Biryani</c:v>
                </c:pt>
                <c:pt idx="6">
                  <c:v>Chicken Curry</c:v>
                </c:pt>
                <c:pt idx="7">
                  <c:v>Butter Chicken</c:v>
                </c:pt>
                <c:pt idx="8">
                  <c:v>Egg Biryani</c:v>
                </c:pt>
                <c:pt idx="9">
                  <c:v>Egg Bhurji</c:v>
                </c:pt>
              </c:strCache>
            </c:strRef>
          </c:cat>
          <c:val>
            <c:numRef>
              <c:f>Sheet15!$B$4:$B$14</c:f>
              <c:numCache>
                <c:formatCode>General</c:formatCode>
                <c:ptCount val="10"/>
                <c:pt idx="0">
                  <c:v>7399.0909090909017</c:v>
                </c:pt>
                <c:pt idx="1">
                  <c:v>7378.1818181818362</c:v>
                </c:pt>
                <c:pt idx="2">
                  <c:v>7258.6363636363531</c:v>
                </c:pt>
                <c:pt idx="3">
                  <c:v>7102.7272727272884</c:v>
                </c:pt>
                <c:pt idx="4">
                  <c:v>6952.2727272727407</c:v>
                </c:pt>
                <c:pt idx="5">
                  <c:v>6891.8181818181911</c:v>
                </c:pt>
                <c:pt idx="6">
                  <c:v>6751.3636363636433</c:v>
                </c:pt>
                <c:pt idx="7">
                  <c:v>6645.9090909090955</c:v>
                </c:pt>
                <c:pt idx="8">
                  <c:v>6495.4545454545478</c:v>
                </c:pt>
                <c:pt idx="9">
                  <c:v>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3-4C6B-92D9-0FB8FD309137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2.xlsx]Sheet15!PivotTable15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Sheet15!$A$4:$A$14</c:f>
              <c:strCache>
                <c:ptCount val="10"/>
                <c:pt idx="0">
                  <c:v>Chicken Lollipop</c:v>
                </c:pt>
                <c:pt idx="1">
                  <c:v>Chicken Fried Rice</c:v>
                </c:pt>
                <c:pt idx="2">
                  <c:v>Chicken Noodles</c:v>
                </c:pt>
                <c:pt idx="3">
                  <c:v>Chicken Korma</c:v>
                </c:pt>
                <c:pt idx="4">
                  <c:v>Chicken Tikka Masala</c:v>
                </c:pt>
                <c:pt idx="5">
                  <c:v>Chicken Biryani</c:v>
                </c:pt>
                <c:pt idx="6">
                  <c:v>Chicken Curry</c:v>
                </c:pt>
                <c:pt idx="7">
                  <c:v>Butter Chicken</c:v>
                </c:pt>
                <c:pt idx="8">
                  <c:v>Egg Biryani</c:v>
                </c:pt>
                <c:pt idx="9">
                  <c:v>Egg Bhurji</c:v>
                </c:pt>
              </c:strCache>
            </c:strRef>
          </c:cat>
          <c:val>
            <c:numRef>
              <c:f>Sheet15!$B$4:$B$14</c:f>
              <c:numCache>
                <c:formatCode>General</c:formatCode>
                <c:ptCount val="10"/>
                <c:pt idx="0">
                  <c:v>7399.0909090909017</c:v>
                </c:pt>
                <c:pt idx="1">
                  <c:v>7378.1818181818362</c:v>
                </c:pt>
                <c:pt idx="2">
                  <c:v>7258.6363636363531</c:v>
                </c:pt>
                <c:pt idx="3">
                  <c:v>7102.7272727272884</c:v>
                </c:pt>
                <c:pt idx="4">
                  <c:v>6952.2727272727407</c:v>
                </c:pt>
                <c:pt idx="5">
                  <c:v>6891.8181818181911</c:v>
                </c:pt>
                <c:pt idx="6">
                  <c:v>6751.3636363636433</c:v>
                </c:pt>
                <c:pt idx="7">
                  <c:v>6645.9090909090955</c:v>
                </c:pt>
                <c:pt idx="8">
                  <c:v>6495.4545454545478</c:v>
                </c:pt>
                <c:pt idx="9">
                  <c:v>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2-4C55-A433-7301C0443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9340080"/>
        <c:axId val="819333192"/>
      </c:barChart>
      <c:catAx>
        <c:axId val="819340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333192"/>
        <c:crosses val="autoZero"/>
        <c:auto val="1"/>
        <c:lblAlgn val="ctr"/>
        <c:lblOffset val="100"/>
        <c:noMultiLvlLbl val="0"/>
      </c:catAx>
      <c:valAx>
        <c:axId val="81933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34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2.xlsx]Sheet2!PivotTable1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177983769534277"/>
          <c:y val="0.12071046738423752"/>
          <c:w val="0.62804089787284056"/>
          <c:h val="0.65502182049728996"/>
        </c:manualLayout>
      </c:layout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Sheet2!$B$4:$B$16</c:f>
              <c:numCache>
                <c:formatCode>General</c:formatCode>
                <c:ptCount val="12"/>
                <c:pt idx="0">
                  <c:v>16273.181818181827</c:v>
                </c:pt>
                <c:pt idx="1">
                  <c:v>22280.454545454573</c:v>
                </c:pt>
                <c:pt idx="2">
                  <c:v>19690.000000000015</c:v>
                </c:pt>
                <c:pt idx="3">
                  <c:v>16923.181818181831</c:v>
                </c:pt>
                <c:pt idx="4">
                  <c:v>17188.181818181827</c:v>
                </c:pt>
                <c:pt idx="5">
                  <c:v>17578.181818181823</c:v>
                </c:pt>
                <c:pt idx="6">
                  <c:v>17573.181818181831</c:v>
                </c:pt>
                <c:pt idx="7">
                  <c:v>17828.181818181838</c:v>
                </c:pt>
                <c:pt idx="8">
                  <c:v>18143.181818181838</c:v>
                </c:pt>
                <c:pt idx="9">
                  <c:v>18298.181818181834</c:v>
                </c:pt>
                <c:pt idx="10">
                  <c:v>18593.181818181831</c:v>
                </c:pt>
                <c:pt idx="11">
                  <c:v>18796.363636363647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40-44F9-B9ED-39E04E88C4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80087104"/>
        <c:axId val="580083496"/>
      </c:lineChart>
      <c:catAx>
        <c:axId val="58008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83496"/>
        <c:crosses val="autoZero"/>
        <c:auto val="1"/>
        <c:lblAlgn val="ctr"/>
        <c:lblOffset val="100"/>
        <c:noMultiLvlLbl val="0"/>
      </c:catAx>
      <c:valAx>
        <c:axId val="5800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871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 2.xlsx]Sheet4!PivotTable3</c:name>
    <c:fmtId val="6"/>
  </c:pivotSource>
  <c:chart>
    <c:title>
      <c:layout>
        <c:manualLayout>
          <c:xMode val="edge"/>
          <c:yMode val="edge"/>
          <c:x val="0.10337837837837836"/>
          <c:y val="7.718094644110084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44-49C4-9113-57C9C6C68709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44-49C4-9113-57C9C6C687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Sheet4!$A$4:$A$6</c:f>
              <c:strCache>
                <c:ptCount val="2"/>
                <c:pt idx="0">
                  <c:v>Non Veg</c:v>
                </c:pt>
                <c:pt idx="1">
                  <c:v>Veg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138650.00000000009</c:v>
                </c:pt>
                <c:pt idx="1">
                  <c:v>80515.454545454617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44-49C4-9113-57C9C6C6870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[Dashboard 2.xlsx]Sheet4!PivotTable3</c:name>
    <c:fmtId val="13"/>
  </c:pivotSource>
  <c:chart>
    <c:autoTitleDeleted val="1"/>
    <c:pivotFmts>
      <c:pivotFmt>
        <c:idx val="0"/>
        <c:spPr>
          <a:noFill/>
          <a:ln w="22225" cap="rnd" cmpd="sng" algn="ctr">
            <a:solidFill>
              <a:schemeClr val="dk1">
                <a:tint val="88500"/>
              </a:schemeClr>
            </a:solidFill>
            <a:miter lim="800000"/>
          </a:ln>
          <a:effectLst>
            <a:glow rad="139700">
              <a:schemeClr val="dk1">
                <a:tint val="88500"/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dk1">
                <a:tint val="885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dk1">
                  <a:tint val="885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dk1">
                <a:tint val="88500"/>
              </a:schemeClr>
            </a:solidFill>
            <a:miter lim="800000"/>
          </a:ln>
          <a:effectLst>
            <a:glow rad="139700">
              <a:schemeClr val="dk1">
                <a:tint val="88500"/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dk1">
                <a:tint val="885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dk1">
                  <a:tint val="885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dk1">
                <a:tint val="88500"/>
              </a:schemeClr>
            </a:solidFill>
          </a:ln>
          <a:effectLst>
            <a:glow rad="139700">
              <a:schemeClr val="dk1">
                <a:tint val="88500"/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dk1">
                <a:tint val="885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dk1">
                  <a:tint val="885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dk1">
                  <a:tint val="88500"/>
                </a:schemeClr>
              </a:solidFill>
            </a:ln>
            <a:effectLst>
              <a:glow rad="139700">
                <a:schemeClr val="dk1">
                  <a:tint val="885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dk1">
                  <a:tint val="885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dk1">
                    <a:tint val="88500"/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Sheet4!$A$4:$A$6</c:f>
              <c:strCache>
                <c:ptCount val="2"/>
                <c:pt idx="0">
                  <c:v>Non Veg</c:v>
                </c:pt>
                <c:pt idx="1">
                  <c:v>Veg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138650.00000000009</c:v>
                </c:pt>
                <c:pt idx="1">
                  <c:v>80515.454545454617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C1-4B42-914C-F01B4D6F2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180768"/>
        <c:axId val="617181752"/>
      </c:lineChart>
      <c:catAx>
        <c:axId val="6171807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81752"/>
        <c:crosses val="autoZero"/>
        <c:auto val="1"/>
        <c:lblAlgn val="ctr"/>
        <c:lblOffset val="100"/>
        <c:noMultiLvlLbl val="0"/>
      </c:catAx>
      <c:valAx>
        <c:axId val="6171817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8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2.xlsx]Sheet5!PivotTable5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4472C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Sheet5!$B$4:$B$11</c:f>
              <c:numCache>
                <c:formatCode>General</c:formatCode>
                <c:ptCount val="7"/>
                <c:pt idx="0">
                  <c:v>39174.090909090941</c:v>
                </c:pt>
                <c:pt idx="1">
                  <c:v>22946.363636363651</c:v>
                </c:pt>
                <c:pt idx="2">
                  <c:v>47628.181818181845</c:v>
                </c:pt>
                <c:pt idx="3">
                  <c:v>22881.363636363665</c:v>
                </c:pt>
                <c:pt idx="4">
                  <c:v>41543.636363636411</c:v>
                </c:pt>
                <c:pt idx="5">
                  <c:v>30091.818181818198</c:v>
                </c:pt>
                <c:pt idx="6">
                  <c:v>14900.00000000002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F7-4420-B2BB-CA568D6EA2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591706912"/>
        <c:axId val="591710848"/>
      </c:lineChart>
      <c:catAx>
        <c:axId val="59170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710848"/>
        <c:crosses val="autoZero"/>
        <c:auto val="1"/>
        <c:lblAlgn val="ctr"/>
        <c:lblOffset val="100"/>
        <c:noMultiLvlLbl val="0"/>
      </c:catAx>
      <c:valAx>
        <c:axId val="5917108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9170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2.xlsx]Sheet6!PivotTable9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Count of Location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38</c:v>
                </c:pt>
                <c:pt idx="1">
                  <c:v>37</c:v>
                </c:pt>
                <c:pt idx="2">
                  <c:v>37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E-4C4F-8ABE-1B39F3E27995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Sum of Rating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Sheet6!$A$4:$A$8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Sheet6!$C$4:$C$8</c:f>
              <c:numCache>
                <c:formatCode>General</c:formatCode>
                <c:ptCount val="4"/>
                <c:pt idx="0">
                  <c:v>12594.454545454559</c:v>
                </c:pt>
                <c:pt idx="1">
                  <c:v>12654.945454545466</c:v>
                </c:pt>
                <c:pt idx="2">
                  <c:v>12960.636363636379</c:v>
                </c:pt>
                <c:pt idx="3">
                  <c:v>13443.363636363651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EE-4C4F-8ABE-1B39F3E27995}"/>
            </c:ext>
          </c:extLst>
        </c:ser>
        <c:ser>
          <c:idx val="2"/>
          <c:order val="2"/>
          <c:tx>
            <c:strRef>
              <c:f>Sheet6!$D$3</c:f>
              <c:strCache>
                <c:ptCount val="1"/>
                <c:pt idx="0">
                  <c:v>Sum of 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Sheet6!$A$4:$A$8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Sheet6!$D$4:$D$8</c:f>
              <c:numCache>
                <c:formatCode>General</c:formatCode>
                <c:ptCount val="4"/>
                <c:pt idx="0">
                  <c:v>54002.727272727279</c:v>
                </c:pt>
                <c:pt idx="1">
                  <c:v>53198.636363636426</c:v>
                </c:pt>
                <c:pt idx="2">
                  <c:v>54958.181818181904</c:v>
                </c:pt>
                <c:pt idx="3">
                  <c:v>57005.909090909139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EE-4C4F-8ABE-1B39F3E27995}"/>
            </c:ext>
          </c:extLst>
        </c:ser>
        <c:ser>
          <c:idx val="3"/>
          <c:order val="3"/>
          <c:tx>
            <c:strRef>
              <c:f>Sheet6!$E$3</c:f>
              <c:strCache>
                <c:ptCount val="1"/>
                <c:pt idx="0">
                  <c:v>Sum of Rating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Sheet6!$A$4:$A$8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Sheet6!$E$4:$E$8</c:f>
              <c:numCache>
                <c:formatCode>General</c:formatCode>
                <c:ptCount val="4"/>
                <c:pt idx="0">
                  <c:v>186.46818181818188</c:v>
                </c:pt>
                <c:pt idx="1">
                  <c:v>181.14000000000004</c:v>
                </c:pt>
                <c:pt idx="2">
                  <c:v>180.76454545454541</c:v>
                </c:pt>
                <c:pt idx="3">
                  <c:v>177.58090909090913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EE-4C4F-8ABE-1B39F3E27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717520"/>
        <c:axId val="524718504"/>
      </c:barChart>
      <c:catAx>
        <c:axId val="52471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718504"/>
        <c:crosses val="autoZero"/>
        <c:auto val="1"/>
        <c:lblAlgn val="ctr"/>
        <c:lblOffset val="100"/>
        <c:noMultiLvlLbl val="0"/>
      </c:catAx>
      <c:valAx>
        <c:axId val="524718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71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2.xlsx]Sheet13!PivotTable13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Sheet13!$A$4:$A$105</c:f>
              <c:strCache>
                <c:ptCount val="101"/>
                <c:pt idx="0">
                  <c:v>Agartala</c:v>
                </c:pt>
                <c:pt idx="1">
                  <c:v>Ahmedabad</c:v>
                </c:pt>
                <c:pt idx="2">
                  <c:v>Aizawl</c:v>
                </c:pt>
                <c:pt idx="3">
                  <c:v>Amritsar</c:v>
                </c:pt>
                <c:pt idx="4">
                  <c:v>Ara</c:v>
                </c:pt>
                <c:pt idx="5">
                  <c:v>Bathinda</c:v>
                </c:pt>
                <c:pt idx="6">
                  <c:v>Begusarai</c:v>
                </c:pt>
                <c:pt idx="7">
                  <c:v>Bengaluru</c:v>
                </c:pt>
                <c:pt idx="8">
                  <c:v>Bhagalpur</c:v>
                </c:pt>
                <c:pt idx="9">
                  <c:v>Bhopal</c:v>
                </c:pt>
                <c:pt idx="10">
                  <c:v>Bhubaneswar</c:v>
                </c:pt>
                <c:pt idx="11">
                  <c:v>Bilaspur</c:v>
                </c:pt>
                <c:pt idx="12">
                  <c:v>Bokaro</c:v>
                </c:pt>
                <c:pt idx="13">
                  <c:v>Bomdila</c:v>
                </c:pt>
                <c:pt idx="14">
                  <c:v>Champhai</c:v>
                </c:pt>
                <c:pt idx="15">
                  <c:v>Chennai</c:v>
                </c:pt>
                <c:pt idx="16">
                  <c:v>Coimbatore</c:v>
                </c:pt>
                <c:pt idx="17">
                  <c:v>Darbhanga</c:v>
                </c:pt>
                <c:pt idx="18">
                  <c:v>Dehradun</c:v>
                </c:pt>
                <c:pt idx="19">
                  <c:v>Deoghar</c:v>
                </c:pt>
                <c:pt idx="20">
                  <c:v>Dhanbad</c:v>
                </c:pt>
                <c:pt idx="21">
                  <c:v>Dharamshala</c:v>
                </c:pt>
                <c:pt idx="22">
                  <c:v>Dibrugarh</c:v>
                </c:pt>
                <c:pt idx="23">
                  <c:v>Dimapur</c:v>
                </c:pt>
                <c:pt idx="24">
                  <c:v>Durg</c:v>
                </c:pt>
                <c:pt idx="25">
                  <c:v>Gangtok</c:v>
                </c:pt>
                <c:pt idx="26">
                  <c:v>Gaya</c:v>
                </c:pt>
                <c:pt idx="27">
                  <c:v>Ghaziabad</c:v>
                </c:pt>
                <c:pt idx="28">
                  <c:v>Guntur</c:v>
                </c:pt>
                <c:pt idx="29">
                  <c:v>Gurugram</c:v>
                </c:pt>
                <c:pt idx="30">
                  <c:v>Guwahati</c:v>
                </c:pt>
                <c:pt idx="31">
                  <c:v>Hazaribagh</c:v>
                </c:pt>
                <c:pt idx="32">
                  <c:v>Hyderabad</c:v>
                </c:pt>
                <c:pt idx="33">
                  <c:v>Imphal</c:v>
                </c:pt>
                <c:pt idx="34">
                  <c:v>Itanagar</c:v>
                </c:pt>
                <c:pt idx="35">
                  <c:v>Jagdalpur</c:v>
                </c:pt>
                <c:pt idx="36">
                  <c:v>Jaipur</c:v>
                </c:pt>
                <c:pt idx="37">
                  <c:v>Jalandhar</c:v>
                </c:pt>
                <c:pt idx="38">
                  <c:v>Jamshedpur</c:v>
                </c:pt>
                <c:pt idx="39">
                  <c:v>Jorhat</c:v>
                </c:pt>
                <c:pt idx="40">
                  <c:v>Kakinada</c:v>
                </c:pt>
                <c:pt idx="41">
                  <c:v>Kanpur</c:v>
                </c:pt>
                <c:pt idx="42">
                  <c:v>Karimnagar</c:v>
                </c:pt>
                <c:pt idx="43">
                  <c:v>Katihar</c:v>
                </c:pt>
                <c:pt idx="44">
                  <c:v>Khammam</c:v>
                </c:pt>
                <c:pt idx="45">
                  <c:v>Kohima</c:v>
                </c:pt>
                <c:pt idx="46">
                  <c:v>Kolasib</c:v>
                </c:pt>
                <c:pt idx="47">
                  <c:v>Kolkata</c:v>
                </c:pt>
                <c:pt idx="48">
                  <c:v>Korba</c:v>
                </c:pt>
                <c:pt idx="49">
                  <c:v>Kullu</c:v>
                </c:pt>
                <c:pt idx="50">
                  <c:v>Lawngtlai</c:v>
                </c:pt>
                <c:pt idx="51">
                  <c:v>Lucknow</c:v>
                </c:pt>
                <c:pt idx="52">
                  <c:v>Ludhiana</c:v>
                </c:pt>
                <c:pt idx="53">
                  <c:v>Lunglei</c:v>
                </c:pt>
                <c:pt idx="54">
                  <c:v>Madurai</c:v>
                </c:pt>
                <c:pt idx="55">
                  <c:v>Manali</c:v>
                </c:pt>
                <c:pt idx="56">
                  <c:v>Mandi</c:v>
                </c:pt>
                <c:pt idx="57">
                  <c:v>Mapusa</c:v>
                </c:pt>
                <c:pt idx="58">
                  <c:v>Margao</c:v>
                </c:pt>
                <c:pt idx="59">
                  <c:v>Mohali</c:v>
                </c:pt>
                <c:pt idx="60">
                  <c:v>Mokokchung</c:v>
                </c:pt>
                <c:pt idx="61">
                  <c:v>Mumbai</c:v>
                </c:pt>
                <c:pt idx="62">
                  <c:v>Muzaffarpur</c:v>
                </c:pt>
                <c:pt idx="63">
                  <c:v>Nagaon</c:v>
                </c:pt>
                <c:pt idx="64">
                  <c:v>Naharlagun</c:v>
                </c:pt>
                <c:pt idx="65">
                  <c:v>Nellore</c:v>
                </c:pt>
                <c:pt idx="66">
                  <c:v>Nizamabad</c:v>
                </c:pt>
                <c:pt idx="67">
                  <c:v>Noida</c:v>
                </c:pt>
                <c:pt idx="68">
                  <c:v>Panaji</c:v>
                </c:pt>
                <c:pt idx="69">
                  <c:v>Pasighat</c:v>
                </c:pt>
                <c:pt idx="70">
                  <c:v>Patiala</c:v>
                </c:pt>
                <c:pt idx="71">
                  <c:v>Patna</c:v>
                </c:pt>
                <c:pt idx="72">
                  <c:v>Ponda</c:v>
                </c:pt>
                <c:pt idx="73">
                  <c:v>Prayagraj</c:v>
                </c:pt>
                <c:pt idx="74">
                  <c:v>Purnia</c:v>
                </c:pt>
                <c:pt idx="75">
                  <c:v>Raipur</c:v>
                </c:pt>
                <c:pt idx="76">
                  <c:v>Rajahmundry</c:v>
                </c:pt>
                <c:pt idx="77">
                  <c:v>Ranchi</c:v>
                </c:pt>
                <c:pt idx="78">
                  <c:v>Roing</c:v>
                </c:pt>
                <c:pt idx="79">
                  <c:v>Saiha</c:v>
                </c:pt>
                <c:pt idx="80">
                  <c:v>Salem</c:v>
                </c:pt>
                <c:pt idx="81">
                  <c:v>Sasaram</c:v>
                </c:pt>
                <c:pt idx="82">
                  <c:v>Serchhip</c:v>
                </c:pt>
                <c:pt idx="83">
                  <c:v>Shillong</c:v>
                </c:pt>
                <c:pt idx="84">
                  <c:v>Shimla</c:v>
                </c:pt>
                <c:pt idx="85">
                  <c:v>Silchar</c:v>
                </c:pt>
                <c:pt idx="86">
                  <c:v>Solan</c:v>
                </c:pt>
                <c:pt idx="87">
                  <c:v>Surat</c:v>
                </c:pt>
                <c:pt idx="88">
                  <c:v>Tawang</c:v>
                </c:pt>
                <c:pt idx="89">
                  <c:v>Tezpur</c:v>
                </c:pt>
                <c:pt idx="90">
                  <c:v>Tiruchirappalli</c:v>
                </c:pt>
                <c:pt idx="91">
                  <c:v>Tirupati</c:v>
                </c:pt>
                <c:pt idx="92">
                  <c:v>Tuensang</c:v>
                </c:pt>
                <c:pt idx="93">
                  <c:v>Varanasi</c:v>
                </c:pt>
                <c:pt idx="94">
                  <c:v>Vasco da Gama</c:v>
                </c:pt>
                <c:pt idx="95">
                  <c:v>Vijayawada</c:v>
                </c:pt>
                <c:pt idx="96">
                  <c:v>Visakhapatnam</c:v>
                </c:pt>
                <c:pt idx="97">
                  <c:v>Warangal</c:v>
                </c:pt>
                <c:pt idx="98">
                  <c:v>Wokha</c:v>
                </c:pt>
                <c:pt idx="99">
                  <c:v>Ziro</c:v>
                </c:pt>
                <c:pt idx="100">
                  <c:v>Zunheboto</c:v>
                </c:pt>
              </c:strCache>
            </c:strRef>
          </c:cat>
          <c:val>
            <c:numRef>
              <c:f>Sheet13!$B$4:$B$105</c:f>
              <c:numCache>
                <c:formatCode>General</c:formatCode>
                <c:ptCount val="101"/>
                <c:pt idx="0">
                  <c:v>2445.4545454545469</c:v>
                </c:pt>
                <c:pt idx="1">
                  <c:v>4374.5454545454586</c:v>
                </c:pt>
                <c:pt idx="2">
                  <c:v>4030.9090909090951</c:v>
                </c:pt>
                <c:pt idx="3">
                  <c:v>1146.3636363636399</c:v>
                </c:pt>
                <c:pt idx="4">
                  <c:v>2769.0909090909099</c:v>
                </c:pt>
                <c:pt idx="5">
                  <c:v>1222.72727272727</c:v>
                </c:pt>
                <c:pt idx="6">
                  <c:v>2788.1818181818198</c:v>
                </c:pt>
                <c:pt idx="7">
                  <c:v>2005.45454545455</c:v>
                </c:pt>
                <c:pt idx="8">
                  <c:v>2711.8181818181802</c:v>
                </c:pt>
                <c:pt idx="9">
                  <c:v>459.09090909090901</c:v>
                </c:pt>
                <c:pt idx="10">
                  <c:v>1108.1818181818201</c:v>
                </c:pt>
                <c:pt idx="11">
                  <c:v>2579.0909090909099</c:v>
                </c:pt>
                <c:pt idx="12">
                  <c:v>1012.72727272727</c:v>
                </c:pt>
                <c:pt idx="13">
                  <c:v>275</c:v>
                </c:pt>
                <c:pt idx="14">
                  <c:v>3037.2727272727329</c:v>
                </c:pt>
                <c:pt idx="15">
                  <c:v>5061.8181818181893</c:v>
                </c:pt>
                <c:pt idx="16">
                  <c:v>2043.6363636363701</c:v>
                </c:pt>
                <c:pt idx="17">
                  <c:v>2730.9090909090901</c:v>
                </c:pt>
                <c:pt idx="18">
                  <c:v>3037.2727272727298</c:v>
                </c:pt>
                <c:pt idx="19">
                  <c:v>1031.8181818181799</c:v>
                </c:pt>
                <c:pt idx="20">
                  <c:v>993.63636363636294</c:v>
                </c:pt>
                <c:pt idx="21">
                  <c:v>2025.454545454543</c:v>
                </c:pt>
                <c:pt idx="22">
                  <c:v>2330</c:v>
                </c:pt>
                <c:pt idx="23">
                  <c:v>2559.0909090909099</c:v>
                </c:pt>
                <c:pt idx="24">
                  <c:v>2158.1818181818198</c:v>
                </c:pt>
                <c:pt idx="25">
                  <c:v>2999.0909090909099</c:v>
                </c:pt>
                <c:pt idx="26">
                  <c:v>2673.6363636363699</c:v>
                </c:pt>
                <c:pt idx="27">
                  <c:v>821.81818181818198</c:v>
                </c:pt>
                <c:pt idx="28">
                  <c:v>75</c:v>
                </c:pt>
                <c:pt idx="29">
                  <c:v>4450.9090909090974</c:v>
                </c:pt>
                <c:pt idx="30">
                  <c:v>5653.6363636363603</c:v>
                </c:pt>
                <c:pt idx="31">
                  <c:v>1050.9090909090901</c:v>
                </c:pt>
                <c:pt idx="32">
                  <c:v>3744.5454545454586</c:v>
                </c:pt>
                <c:pt idx="33">
                  <c:v>497.27272727272702</c:v>
                </c:pt>
                <c:pt idx="34">
                  <c:v>3444.5454545454604</c:v>
                </c:pt>
                <c:pt idx="35">
                  <c:v>2196.3636363636401</c:v>
                </c:pt>
                <c:pt idx="36">
                  <c:v>1299.0909090909099</c:v>
                </c:pt>
                <c:pt idx="37">
                  <c:v>1165.45454545455</c:v>
                </c:pt>
                <c:pt idx="38">
                  <c:v>974.54545454545405</c:v>
                </c:pt>
                <c:pt idx="39">
                  <c:v>2368.1818181818198</c:v>
                </c:pt>
                <c:pt idx="40">
                  <c:v>130</c:v>
                </c:pt>
                <c:pt idx="41">
                  <c:v>745.45454545454504</c:v>
                </c:pt>
                <c:pt idx="42">
                  <c:v>1375.45454545455</c:v>
                </c:pt>
                <c:pt idx="43">
                  <c:v>2807.2727272727302</c:v>
                </c:pt>
                <c:pt idx="44">
                  <c:v>1413.6363636363701</c:v>
                </c:pt>
                <c:pt idx="45">
                  <c:v>3629.0909090909099</c:v>
                </c:pt>
                <c:pt idx="46">
                  <c:v>3075.4545454545428</c:v>
                </c:pt>
                <c:pt idx="47">
                  <c:v>4508.1818181818198</c:v>
                </c:pt>
                <c:pt idx="48">
                  <c:v>2177.2727272727302</c:v>
                </c:pt>
                <c:pt idx="49">
                  <c:v>420.90909090909099</c:v>
                </c:pt>
                <c:pt idx="50">
                  <c:v>650</c:v>
                </c:pt>
                <c:pt idx="51">
                  <c:v>3725.454545454546</c:v>
                </c:pt>
                <c:pt idx="52">
                  <c:v>1127.27272727273</c:v>
                </c:pt>
                <c:pt idx="53">
                  <c:v>2999.090909090914</c:v>
                </c:pt>
                <c:pt idx="54">
                  <c:v>2062.7272727272698</c:v>
                </c:pt>
                <c:pt idx="55">
                  <c:v>344.54545454545399</c:v>
                </c:pt>
                <c:pt idx="56">
                  <c:v>2006.3636363636431</c:v>
                </c:pt>
                <c:pt idx="57">
                  <c:v>2272.7272727272698</c:v>
                </c:pt>
                <c:pt idx="58">
                  <c:v>2234.54545454546</c:v>
                </c:pt>
                <c:pt idx="59">
                  <c:v>1203.6363636363701</c:v>
                </c:pt>
                <c:pt idx="60">
                  <c:v>2578.1818181818198</c:v>
                </c:pt>
                <c:pt idx="61">
                  <c:v>478.18181818181802</c:v>
                </c:pt>
                <c:pt idx="62">
                  <c:v>2692.7272727272698</c:v>
                </c:pt>
                <c:pt idx="63">
                  <c:v>2406.3636363636401</c:v>
                </c:pt>
                <c:pt idx="64">
                  <c:v>287.27272727272702</c:v>
                </c:pt>
                <c:pt idx="65">
                  <c:v>310</c:v>
                </c:pt>
                <c:pt idx="66">
                  <c:v>1394.54545454546</c:v>
                </c:pt>
                <c:pt idx="67">
                  <c:v>802.72727272727298</c:v>
                </c:pt>
                <c:pt idx="68">
                  <c:v>6532.7272727272793</c:v>
                </c:pt>
                <c:pt idx="69">
                  <c:v>190</c:v>
                </c:pt>
                <c:pt idx="70">
                  <c:v>1184.54545454546</c:v>
                </c:pt>
                <c:pt idx="71">
                  <c:v>6035.4545454545496</c:v>
                </c:pt>
                <c:pt idx="72">
                  <c:v>2291.8181818181802</c:v>
                </c:pt>
                <c:pt idx="73">
                  <c:v>783.63636363636294</c:v>
                </c:pt>
                <c:pt idx="74">
                  <c:v>2750</c:v>
                </c:pt>
                <c:pt idx="75">
                  <c:v>6380.0000000000009</c:v>
                </c:pt>
                <c:pt idx="76">
                  <c:v>95</c:v>
                </c:pt>
                <c:pt idx="77">
                  <c:v>2941.8181818181847</c:v>
                </c:pt>
                <c:pt idx="78">
                  <c:v>306.36363636363598</c:v>
                </c:pt>
                <c:pt idx="79">
                  <c:v>3151.8181818181811</c:v>
                </c:pt>
                <c:pt idx="80">
                  <c:v>2081.8181818181802</c:v>
                </c:pt>
                <c:pt idx="81">
                  <c:v>11420.00000000002</c:v>
                </c:pt>
                <c:pt idx="82">
                  <c:v>3113.6363636363621</c:v>
                </c:pt>
                <c:pt idx="83">
                  <c:v>516.36363636363603</c:v>
                </c:pt>
                <c:pt idx="84">
                  <c:v>4833.6363636363712</c:v>
                </c:pt>
                <c:pt idx="85">
                  <c:v>2349.0909090909099</c:v>
                </c:pt>
                <c:pt idx="86">
                  <c:v>2044.545454545452</c:v>
                </c:pt>
                <c:pt idx="87">
                  <c:v>898.18181818181802</c:v>
                </c:pt>
                <c:pt idx="88">
                  <c:v>245</c:v>
                </c:pt>
                <c:pt idx="89">
                  <c:v>2387.2727272727302</c:v>
                </c:pt>
                <c:pt idx="90">
                  <c:v>2100.9090909090901</c:v>
                </c:pt>
                <c:pt idx="91">
                  <c:v>110</c:v>
                </c:pt>
                <c:pt idx="92">
                  <c:v>2597.2727272727302</c:v>
                </c:pt>
                <c:pt idx="93">
                  <c:v>764.54545454545405</c:v>
                </c:pt>
                <c:pt idx="94">
                  <c:v>2253.6363636363699</c:v>
                </c:pt>
                <c:pt idx="95">
                  <c:v>65</c:v>
                </c:pt>
                <c:pt idx="96">
                  <c:v>3321.3636363636397</c:v>
                </c:pt>
                <c:pt idx="97">
                  <c:v>688.18181818181802</c:v>
                </c:pt>
                <c:pt idx="98">
                  <c:v>2616.3636363636401</c:v>
                </c:pt>
                <c:pt idx="99">
                  <c:v>268.18181818181802</c:v>
                </c:pt>
                <c:pt idx="100">
                  <c:v>2635.45454545455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5-42C3-8C6B-082A983F160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16429936"/>
        <c:axId val="816429608"/>
      </c:barChart>
      <c:catAx>
        <c:axId val="81642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429608"/>
        <c:crosses val="autoZero"/>
        <c:auto val="1"/>
        <c:lblAlgn val="ctr"/>
        <c:lblOffset val="100"/>
        <c:noMultiLvlLbl val="0"/>
      </c:catAx>
      <c:valAx>
        <c:axId val="81642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42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2.xlsx]Sheet15!PivotTable15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4640820321188666"/>
          <c:y val="0.17118980958124383"/>
          <c:w val="0.36816806797455404"/>
          <c:h val="0.768934868729300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Sheet15!$A$4:$A$14</c:f>
              <c:strCache>
                <c:ptCount val="10"/>
                <c:pt idx="0">
                  <c:v>Chicken Lollipop</c:v>
                </c:pt>
                <c:pt idx="1">
                  <c:v>Chicken Fried Rice</c:v>
                </c:pt>
                <c:pt idx="2">
                  <c:v>Chicken Noodles</c:v>
                </c:pt>
                <c:pt idx="3">
                  <c:v>Chicken Korma</c:v>
                </c:pt>
                <c:pt idx="4">
                  <c:v>Chicken Tikka Masala</c:v>
                </c:pt>
                <c:pt idx="5">
                  <c:v>Chicken Biryani</c:v>
                </c:pt>
                <c:pt idx="6">
                  <c:v>Chicken Curry</c:v>
                </c:pt>
                <c:pt idx="7">
                  <c:v>Butter Chicken</c:v>
                </c:pt>
                <c:pt idx="8">
                  <c:v>Egg Biryani</c:v>
                </c:pt>
                <c:pt idx="9">
                  <c:v>Egg Bhurji</c:v>
                </c:pt>
              </c:strCache>
            </c:strRef>
          </c:cat>
          <c:val>
            <c:numRef>
              <c:f>Sheet15!$B$4:$B$14</c:f>
              <c:numCache>
                <c:formatCode>General</c:formatCode>
                <c:ptCount val="10"/>
                <c:pt idx="0">
                  <c:v>7399.0909090909017</c:v>
                </c:pt>
                <c:pt idx="1">
                  <c:v>7378.1818181818362</c:v>
                </c:pt>
                <c:pt idx="2">
                  <c:v>7258.6363636363531</c:v>
                </c:pt>
                <c:pt idx="3">
                  <c:v>7102.7272727272884</c:v>
                </c:pt>
                <c:pt idx="4">
                  <c:v>6952.2727272727407</c:v>
                </c:pt>
                <c:pt idx="5">
                  <c:v>6891.8181818181911</c:v>
                </c:pt>
                <c:pt idx="6">
                  <c:v>6751.3636363636433</c:v>
                </c:pt>
                <c:pt idx="7">
                  <c:v>6645.9090909090955</c:v>
                </c:pt>
                <c:pt idx="8">
                  <c:v>6495.4545454545478</c:v>
                </c:pt>
                <c:pt idx="9">
                  <c:v>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3-41E8-9F4F-35B7A972E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9340080"/>
        <c:axId val="819333192"/>
      </c:barChart>
      <c:catAx>
        <c:axId val="819340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333192"/>
        <c:crosses val="autoZero"/>
        <c:auto val="1"/>
        <c:lblAlgn val="ctr"/>
        <c:lblOffset val="100"/>
        <c:noMultiLvlLbl val="0"/>
      </c:catAx>
      <c:valAx>
        <c:axId val="81933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34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_xlchart.v5.4</cx:f>
        <cx:nf>_xlchart.v5.3</cx:nf>
      </cx:numDim>
    </cx:data>
  </cx:chartData>
  <cx:chart>
    <cx:title pos="t" align="ctr" overlay="0"/>
    <cx:plotArea>
      <cx:plotAreaRegion>
        <cx:series layoutId="regionMap" uniqueId="{ED5EBFA3-5B4D-4C67-85DC-72F321EBF532}">
          <cx:tx>
            <cx:txData>
              <cx:f>_xlchart.v5.3</cx:f>
              <cx:v>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7H1pb9y4lvZfaeTzyE1x58X0AC2VLK/xEidO+ovgxI72laS2Xz+nYjtt61aW1uQCr4G3ECCxVaSO
+PA5O5X//jT+61Nxd9P9NpZFpf/1afzjVWJM86/ff9efkrvyRu+V6aeu1vVns/epLn+vP39OP939
ftvdDGkV/46RS3//lNx05m589T//DbPFd/VJ/enGpHV1Ye+66fJO28Lo71zbeem3m9syrTapNl36
ybh/vDq+626Km1e/3VUmNdPV1Nz98erZd1799vtypn+7628FCGbsLYx10R6lSgoh6KvfirqKH34v
+B5FEnPqcvTlgx/v+fqmhHE/luOLFDe3t92d1vAYX/7+e9wzmeHXJ69++1TbymxXKoZF++PVYXWb
woOmuvbvL/j1VuDD11+e8Pfna/w//734BTzz4jdPYFgu0I8u/RsKf2p9Uz4uyP8dBMz3CKNEKleq
+88zLBTek1gwhRS5v0oeb32PxQ+l2Q3Fw7AFEn++eVFInNsqu/n4uB7/dygI2pMUSyUobPinfGB7
1GVUkEcM5OM97zH4sRy7QXgct0Dh3HtRKHgp6L7HBfm/g4DZHhdKMpeRe+XjPsNCwmWkOKcKMLpX
hPcg/FCM3Rg8DFtA4F2+KAj+7Gx1Ayao+O28u7m908nj0vwCOMQeUwTUE3O/2oIn1FB8z0WCCMDk
/sMfb/2gnv6JZLsR2vFwC7T+fFlond7cJtPNfwAqsseIdAVjchdzhNzDUipOiLvTkvy8WLtxWo5f
gHR6/qIoFdrsprsxj7v5FxAJ73GFuQvGZSc6LvBMIO66bCeRfkKe3bB8HbjAIzx6UXhc3RU3VXxT
/Ur3V+wBUTgDz+uZiRFqDyElqWL0HoqFuf8pUXaD8WToAo6r8EXB8Wd1m3T/AR3msj3QXwx84UeD
soRGcQbOmHqAZukN/7RYu/FZPtYCpD9flg47vanSxv5K34zuCUI54WQnOorsSXDdBHPFPXHUo/q8
dwZ+Qp7dsHwduMDjFOLBFxQ5+klyY0yq45vuV3po7h7mfKuudhoWifcQdSGERAuH+Wel2Q3J89EL
XPyrF4VLWP9Kq8L2gB+YKAgk7z/PNRjdQwxzxTG+v8qec+QHsuwG48ugBQbhny8Kg4O0/A9FMMTd
U5gwoMhOfgixhwnHLuEPXvMigvkngu1G599nWEB18MLMyl0MoebN9AtJA0E/gyyYSyDHsoM0ClSc
EFyCf/z18tPY//RnJNoNzpOhC1ROX1Za8vimq27MTf4LUXHB3LuIYvqNkAVif0jVQKJmd2rypyTa
jcqToQtUjl+WWju9geTYjU5M9ytxUXsUjL0kkBb+8nGfm5htTkYqgh98ZLUwMT8p025kng1eYHN6
8LJMzk03/dKAEqs9V0lXUVjwJzkyKKcQijBF9BsW5sdy7Mbi4HHgAoeDl5UPOwKK5MlNdfvoCf2C
ZAvZ44y7WMkH1fQ8wockMoPqFsH8wUeD+tdTe/JTEu3G5MnQBSpHL4sdp+lcd7+00EX2CILYEJHn
YGwrXIQjrNDumP4nBNkNxdeBCyBO/3pRaursNtXJL7QeGO0xlyBKwXzs8LUk3YMaGFQk0YNxWViP
H4uzG43HcQswzl6Wrrq8yW60AWX1qDB+ga7ie0xSiE/ch/gE4vSn1gOSKkAM8Hwf0vYLPH5Kot2Q
PBm6QOXyhSWHu22e61dyhOwJyhDEjZDCegIGBCKQvxcQKz5gtQDj6seC7Ibi68AFEFcvix5XN2Va
/Pb65tb+On647h5yOVQf5XO7AfUsigTCiInHm92nGX9OiG/g8OQBllC8rGTjmzTP01/ZpwKFYIEQ
gQXfaTYADSEw5OUfmLFIo/xYnN2API5bgPHm+EXZ8LfGQBj4i51caFcBFxZB8vchK7Lgh9oDbhDw
gR/wWuiqn5RpNyzPBi+wefuysHl9E0M265dGH3wPCrkSbMSDyV4YEfCwONTpxUM4iBb662cE2o3K
3yMXkLx+WbmsL7vrP9Agwe8zwe5DKwt6njeR4BhzThh+DBoXxcWflmo3OIvhC4Tevqwc8PWdNr95
d1CRLx6N7y/whMHVZZAHhkTJThMj9pSAyjCB0OT+83jre7v/kzLtRufZ4AU2197/08ZmdwX0Pp9x
D8qzb/zDJmGMoT8VKEEfU+/PlRk0S2zLXZQ8cmphZR46eb8tzW44HoY9E/w/3Bb87Zbhrz3UG0iw
B1+ar590DX//6pfHg4bwxdDv9XDfr9Xh7bZBG5rrsAL78LWvezvPs1zV18hh17A7CFb/eAUZFgK5
LlB7oNkkJQIwGoDAcMXdc7dhDtijbWsS2KxXv1V1Z5I/XmG6x0AdMsVhiASI4ZKu7ZdLGPQopGsk
tJtBGho886997+d1McV19XVNHn7+rbLleZ1WRv/xinJQu83997YPCWYQOgoogQk5x4yrrVpuPt1c
QnM9fN39r6bKHWeirj2gEZ18mxvsOYM8KPuy8Fw1vpdcxV4/JoXPdD6Fcw2d+BhfZ1K+L0WBLqNW
tgFrh1szpcLLTWkDM3K7cRzX8UbTVm/yBulj0ceZV8up2sy9q725zS544+SbAffJQaUd6cVx81o0
OfZ0OiXBVLP3tWrafW6ny5qiu7Ipzt2pyjdFzLRfqYx6c+7c0pi8JkWHPVY77V9J3cYe4/14YKaJ
e7CGEdw17v9KdXHgzPVJV2R94pmhFF7J4/PYidQmxcwJUDvFnkuy6qSRghybjM5HjdPwk6SKxOg1
gpaDh4rpXaTiK5TmN0PSvc+RKQqvN9N86kBIG2TjGG1MbTs/sZP1MkztZTllYd7l9KTh7niIc2b3
52iqN3GrnNxr3dQoT9hpHLyMufaza9VrPcU8cDsiLiinyFdNEiStzsNJs9KvnLY6FVmtfGfU0UfS
xs4Bp504SjRuNh1vsV8PShzmndscoSLmHw2f/upGlfiknFu/GXrtY1XAvyrSfLRcOacR79GhGhru
pWbINnPB6Omcd3aflfVd5pohdFQrzjqUqf0hJplnMxd7Lqqln8P5hiBPKusNqu2O2nLEl1LPt00T
pX6dj+3ZUNj8Pamn91Q2iT/kU+pplSGv1OiEtrkNmpomm3lycj/vi89pJfMDUau/lCnyDe/h67Mp
pmR/cIUJ+hId1YLDBpB5cYCaLjlORXGVcn4ljM6OJDKJV8ZjeqWjTm9ygfNAt3l8mrVxcTmYRPpu
2ef+nCsSDGmifdPQt4JkUSBih53arL2G/aruRlSZADlV+XrGdbcpTVIGfaOvIie6SqYx4PVYemjW
77KZ5pse9SrUFaHe6NAPRTWig8zoS5c1Y5Ab0Xg8I3q/tLV5h+K+gi0qL/tJXc1jdl4RB/Ys8N3v
E8o93ZdEeapHKhxHHUenGcFtF5azoYdVlKbWi6euOad8bAKXOc4m6fLiTGlcBDWNh8MydZt9Dnvw
LDa6P4pimh7EeTJ5RZKAOlM6nE1zalEWJb4sOnLMqjq71BmVIW7w5DlMv3NjPb4pVRkfDVC4P3BN
XPmG8rcuynCYp335rsjy1Aeo+mBgU2+8PDOjp6wTfejqpg+iHLcnqdHx0TwNvPWiXlDiuazDGxt1
d3XTVRvQZInHx1m95iUdL+JRqE0z0jwYB0t8o/kRF5KcoS7SGxmx2eNqSC8Gt0i8qZH2DGVzaT2H
z5/MpA5SM7ceH0R9IFFmcq+Z3YsoN+PGOmnsTclY7xukGh/pSPg9j5NNbgbZ+7yR6QFOWFUEZVFW
3uQgvlGDY68nrfhbG1tx0Mopui6QiHwHiWyf9SgLUyqSw0y003ErWPpWpU17EtctJ17CZnxZzK7z
WpXdHJaqyK55ha9R0pn9mk9erOPqoNHjeWN6fNc3bn+ZDnzYOKnWs0d6Lrx0rOcjmTieULr5mDI7
3PVEl2eiIcORmvhwYIwsfBo1zHdEke+7c3wtadG8djp5HDkl3gjumRgpX1Ul8suJ1L502uOxjzAw
NyXZphzzaNP0iTimRZmdD3PUnESuyc4SpFy/RvbE8rQPS2ra6wpZ6+G67F6bdrJ+MnVoY1MXB6We
YDmzOXvbKxCjGKb5Mkrmi5FV5QbLyt3U05AeNpm9ADvkHNo6avcZYvHHri7nA7dwruKxRcFMqtGr
cWXO6lyyjZRzuiGVtJsKpyejTPLLNqb1BctQ5pUptV7nCsdnkBTxyCijzTS7k4C9q9xDhzl2Y5yW
baJUliHq8u5kdEztOWUrvKgs0KYXBLRwyu5cN6k2iheuD1ngi7Ljn1IsJz/KBuJRpStvRA0J8j4b
fGL1HPQ2AvUS5XRTV9E7RGuwilsZcMFIEKeD8muj8LXsgc0FdCIFcTSr0zxPcObjnlHt5SQePjqx
LTMvq4buCjfyM9PZaTlY0L7ugRwSN5BYnvVwLMAb+5w4m0wmwyUeErvfy9zxmJNditFtTqFjI3vX
KMmDFrMhUHPyrqx4yJyh2MAhjq7yuaM+zDOf91vV3NYjbCiui6u+zYWfjdOwqQr0eu7n01K1kw/W
LnsL5+HwoXUc5XdbpGU+Rfukj7EnS1A9RlW3FZ4/WlH/1QscwaLOJAkKLJJA6DrzWF6lR2MUn6dJ
251KFA9eTPBF6nLiT1Ev/brq8UZaTb1uriqPZoIc6D7vrmISm82s4zbkxpQHZKxvkANaiJf5JsJR
wA37OFX4YKDstrQV8yPjVn5KGFQ2wYF7cDCfuUif6mbq0jh5OB349cf/uapL+PNlzN+/3B4u/Pun
08dTid/9VnhXb8MjvfzSVpqvc/19Ym7rX34VdeG03p9j/IZH+92LP+nuwqkeqMR+29d9fvDwi4d8
P+Tez4VWLvLlGB04ulJy4UKocu/nCronJZHgaboMk3sP+MHPdfGeQJCNUXC+SwquGET9D34uHJiA
IgDkcKB90lUCEm3/xM/FHD33cyl0xXI41wQZVHB1Cfi8z/1cZTNnyHM3D0hkAh7V9eDZmhepn4BA
J1VWdH6ELD7mZK4PUEnMIai7vPBlqZrTJHfMNR0oSrxKJtl73nQD8xGq6sMicnntKZlL4bWJqfZj
1sszlBguD3vOh/SkY239ic7MHutKqO7IIg4eoq1T2+/HNNKpT+eE54FxFKrA+22ycZNRMENJWcS3
VcNYuQGNwslGkqwbPFOQpPWmfhyr48HJxVs0ZVkeVG4ynrAZRcezbjsL5gPx63Ye8HUksLzSiTOc
1WD7E6+fNSiCCsVHvSu59dI80dKThVVH2M3n17oaQBsXDkqN19OK9ke4ixIUDF3UOUd8SvAbVA2W
7ee5SotNO80t9/LYVZk3MCSqDc2TMTpLhLZzwJLZVn5dUl54uh2K4Yz3pdAncALWgCMa0a7wmzqn
wksyd+w9K+IO+WlWNp/bYaxPMBhwHaB06k7qKUPsoE40oT6kklji0SGb3gwzLokHLkea7BszFsav
UpOpzaAcNIBP0OSfcqeem8PJtUW9mXQON6Axl+9RqrOzHGKAA0CGXiGZ9QdTFE2vo3pS53joK+Ol
KuvGQGtUv8WEWPBGs3KMQh53+VHTjSj2ad+N71CTi4u8RfwTGiVJA8stK73SjrA0MpZz6Q0ZLwLL
NL5ubWqvZcxovz8UVEtfohJZH1L87XEGuu0NTcrWeJls28xrjOsMh3Q0Cdgl8Gw3iYQ7bJhBfRlY
S8hlVtL6gMVteqHBWNde72b8k4sS3sGGxGCfc4WH11nRJ8cqJsUmti6/o1WiYy+aWRf7Ua9GWAIw
VYe0d7Jp07IURxsrBhe+5/K/WmGJhYAJkdwfZlWOPrhsDd0fEJ7ZwTQ6c+RNNo3AKeB07je2t+JD
W8VJ5yHC9ZGW85hvaCNr5rWySZkHnrv9zN15pBuYoor8FAyt8ssmH3oPy9buRy6V2T4iVXRR9mPs
4WbKh/18hAfzhkR1rjdVU5N6MTbdSVvw/NamNEaHsnSQX0XMdhteZHXFvYEmMveA0eUbpVK50cLK
PPP6osQORJu0AyMKXmgh7BhUthuE8aAg3Bwj3CrYjvygmMSQHSCNsncVHlBIq2kORErnk1jp4nhK
erzfjjhq/TQfxHA6qcq4F26X1u+6gWxUr8mBy/rB+oqYJjuiqqzexEkWmEJPfZhFrp4Pyw52Sptn
7BRZmXaekRUa4AYkoR6KnLT5CA7gfIJ7t1d+3sA+OXJwlE/vIHRoHb+dph7FHplGnu/3FhVd53V9
plKvBFf9Y+S0yeVgK/4xL4a22aDYtMnhMBXVfJbmhTv54Pkpu69Yw9FmkPHoTJ5ShshDrmY7n5HY
bqNcx8nemckIiFyJgVDWjnQawOwnGPxkx0yg5r1IJ9Lx4lzU++Bytjf12BxXWmZBivLNONWth4BJ
fsMs9eE8Cjyt91+sUROyjW2DvBybc417E7pNk+//f+P+5H0EzzJ2j/nZL5baBcP6bdP+LE/49fsP
+SsB569dAeoUspDQccq/2nUuoeOOQdMdglZIyEURSB092HUi9hD0DEP+CphCoNcFrO2DXed7cF4V
Ek5SYAHvOFBwlPjRqXnmnEHablf+6plVd7BLBYU9su2yfJq10tEY1Xmq+EHibhQ7g0D3yfP/g3mX
XgJOe/CQRxEYlkCgOc/TdJ1gPt6/G+H+1Qj/YHpA5anYmXDyaRgrESRd23WXA59RDAHQXH/+vvhQ
723+Tur9vSzQzfJ0flXOubR5xAOFmZ4vGrdUyEsIZJY8RFGJPUpaE92T6h8/zCJzqAH7bIgrHoya
SOJJROLOqycuoQXs617csViQcd35MFuP7klmUqgWNRkEu4F1G3rqugMt3wwoQ/xkkqYaQ0fMYOLK
qW2gj+N7N9yCvGP1JOz0pzdsJGp6sb1hXygxHtWJjcAqa5ukwfdvsJ1o1w0gq/v0BjKdB2QsYcGQ
azGAJ0Ui7De5xskJy5MMn7o2t7nf6raCaBYV1G33UZX03cH37+8+d4a/7g+5XeonS9qIUudMTyyw
cdy3PsSZoSDu5yYn7QAqPR760rOTcE7qIQZX2eK6lpXnxBKXUORcs8bbnftEgiKeyr5gAyyBxMwn
Xf1ZsCH9wfN9C8CFVqiBqYOcDAumSYv3qJ5qyDzZ7Gyd6AvdUMgs5Zp0LMhJmt4heGfNSeWkufXX
Tb/QDbUzsKZNGAsKI/p37tBCMjGaxTrNIxeaoSuGrGlwywJTO/McoNHpwUFq6lqsFH+hDfAYu3Iq
MtAGNbWZP3E+Uq9tgUqb76/PN3QbX5CnVP3AMhuLsCx0G12KsmztO9LOCh0ZJ1HiAmojhB9+/2bf
2kkL3YOzyalq3ThhVU+Cn2voEjXvSmOcz6vmFwtVoyWyaBiZhHqKWwZTTJ3OG9Ncdz9AY7vjd2ga
sVgsBQFVYfEUhbUDscf+AMWAPoDsnJtu2jShauVtFvqE0DqSQ+OI0BiLzUHF6wpyeZVbjEEDpYRx
Ha/FQmm0dd9GZCxl2OB8vsq7KTmrIJtw9X0svrVWC60x5KN0B/BxQuyMaVDoTpCTmIKfep0zmY8/
WKpv7KjtW5+eKr5Exg2kCBoZdgWdDp1yRmcqdrsCyt8r9Kogz6evo3RCsDg8tKLFo4eykX7gc90E
66ZfqA/bi3pbSuRhXwACpojLgFoHChvrpl8oD5uSaiqmTIYUcoGAwSRHx9NoSueVN1jwOVcOa9UI
q6/csq0OG5dVQ9BlYh7OVz3B1kt+Cq/AE9GuM/JQ6SR9J6TW52Mat9M6+fmCaGLqoISLmAgbQk16
YGYyKi/JywGtoxhk257JP6ZTyw3uRJjruKGHusS99DJLux/Z5q3m2aGR+IJlU5zFqBwA4jaamm6T
xUSI89KZe34Um6iEsk+Mp+p9UUryl63iofqBJv+Wz7NM/BVjHIl6HkAVFrJojhIHKkDg2ecK3DoJ
5U5qvMpkc++nCW9KyDDMsdhwOpD6TY8MtysXeEHQKeKOgOx9FJYC6hMkHUQoRUF+sD/cLVN2LS9+
jh/rzZi2kLAICZq7OpjdqDcBi+a5OGgUEdNZrMv6c+PQoTygs6zY6xHaFqpTLKTM3sscM/YDUb6h
6L40HDzx8GSVsaYeUho2ItLE57O6a8ZxaNfp0S953ifTQ8WSu9OYibBzmiGMjUsLKDHI+HYVj9mC
x9btuMyymIZxM8oPDKzba42ccp0aZVtyPBG+JXGVOY5QISsgkvGtK8vZs2k36R/ssm+wbNud/fQG
Om0nhsdOhmYaInwoadehj2PjAuMSnKDaq1LblB6eeRN/aspZ43WwsIX+IENVwCbqeMhlBGXZpsW6
hJwgdVZqcLbQHzOd89byTgS2ZW7Apz7ezLx2NutgX1hnHkHqPWvHOdQ2NuFciczjXZP9QAd9gxLb
KsdTVKC/PnFGcFXDDKelj42bbaAFBK/cVAvqQ9RTSzet5xBD3OihxL2uYvojR/Jboi8ss8ubio5F
PIexmMypnSoE5rlN3GzlvlkY5iSzpiHdNIdOVKpD3EOeOCKShqtgpQs2k6ZnjclhdhNh6g9EaE+X
brpOdrpgs4RKqOwFwOoYnPg5sb3Hc0HX6VG6oHKGnA4NkZ5D6BEq9rWqYh8qyPP+91dmS5sd9oIu
+AoJ8mSGHoUhHBx2B2Fn3u9TkzdVaAboHPj+Pb6xd7Ync59ue9KLvsryaAgJEPdSmToLXFrn68Jx
uqCsqcAVGmY+hDWc7zqEd+jZTTZVK9UNXVDWNWURyTmzYawLepwWpThtxmKl6AvGgqGOoBRJTNjW
kPz3O4a1L5IxTzbrFn5BWhbFOndmSPM0VToe5SY2JzaKipWkWlAW8qNO79rM7Hc2HvQbMiBZnLFO
8mTdvtkeA3u6b3I37du4xyO4hHaGWgf7MKmp+sHG/8am3J6HfTo5y5ycShn1QVskrke0xV6rlF0p
+oK0pMkojjJoi2oq50OHwb+rFPQEroKVLDibN3PnOJo/iE5xC12PPdRv182+ZCuTkZWJ2wdqgKQx
3s6u1y/Mgq056puo0DD7mEEnIhTgrMc5zlbKvmBrQpmsofIPs1N816a02I/TeGVmi+DnOyaHN1fL
NIbJoRBWhgWU8CHy4uM632BbRHm6H0dDRFRMeR8wEw3e6PbQntVEZp2JIguulkmDq5ogG1T9XEHd
NL2z2eyuW3W84KmeO9PUyWCDMociJafsg9NrvHLyBU9RxDoyJY4JRIuqjR7TG+gm0CsnX9C01WrM
wBO2QcYVNCFmaeHZDouVsy94Ct2kTpw6CkRX1j3VUB45j0RcrCtR4QVPR0txBd0uNpxdeG+6N1eS
s41jHKnX7Rm8oCpuR1XaJu7DiZZV5zmkYWEzYPNplZ7BC666aYQ7aJ4Fyxrp4khl2t3oPJuCdbPj
53SyXdSQeGI2NIr85Wb4QlNysW7qJVP1lJXT5JgwTZzXoB4/TFisTN/hBU9VmpbCrYQJsyGRG5uw
qzqP6nWAbjuznqqYKtdOp6S1oZOa1C8ycSJwi9Zt9u3rPJ9ODmXhAXpZpRNUxXibTu41ZiWcUVyR
03QXLJXpAC3ZmTOFMK023ox1wr1Jk3id6nUXPO1jZpOcdiaEA0/oPTWgB6D9anbXeRrugqi2LTAq
otqGZd3Nm3oUH5O0iVYu+4KkkUxb0aedDdnUTX5ZQieMzn9Ued1OsiM42DYPPMVUVZymjVOaEE6r
qFOpY/e0cKLmeh2sC4piAx07pkthOybQTUvK4b2Q6UpIFxydaa2gsT23Ycd6aDiX44eilefr5F5w
FNr/xiElMLeT6Stqp1Po5z1dNTVaMLQeoig20AAbQKeP4ztZdJLOaGV+AA4MPUPThT4aMTvYCeA9
4mflJD7IbirWqZbtadqnO8VJwE/valiTIqku6rjej8pknSZHC3bSZpjICDn1oJ77g27Ax5Sts6Bo
QcxmYobX0JIe8jI+kfUYVl20rsyKFrRMCzMm1oLQTfl27q2fiXfrdsiCkgV0ITZzDiDSJP8Ip3ku
5MzX6antq0qfYmjbPodecG7gfFHmXs2TwWFmid6sE3zBSOjfG6ssVSaEM16Vh6v8QEXq/bq5F4zM
i1QzeImeE7AUvFs4uXFDFVln2KD///mywMZuWzj0YcIk5aPHNHU2Sol+FXHgP4J5PrvUvTCU9U7Q
8jddvYGzG6sMA92eX3yKZhInLW2TyYRWQjPHQHTjuS2/WrPgVC04OUD9fZqqSAdu0hwMBdT2W5KZ
VTsFXqn7XPLOWpQ7BUwuC3ZObPMppVO3clUWvIS3xk2olUoHXUnOGcw92n7t3AtqukMqCBldSBtj
gk6sjLOjlo585aos2Jlo2hfgz8JGYTP3ZpS9LXiyysGiasHNUVk65AqYP5LJZD6iEa83GDygdJVq
oWpB0GYoaQS1GhPGtLlxhv4aig9vV23FZbNWDwfVO05gXayN2aa1eerBgVmxyo+AhNBiLya9gHz0
CIKP47mt0dHYtysZumzCykqB4PAY0aHMyWkBDYcB/C9ReN2KywVDbdxBz6WF7lnUFBfUKfysS1Y5
KXAgcbEmzKmmmJQ6xJhhfyjdzndp9nkdnAuCTlBR0LI0GhoM+Ac4fniUCvZm3dQLfo6diXKJnS6c
3GLwilq0+1WZreuMoMvGqpoNleqhfSeEEtK8qeb6tSB6XdmfygVBbYN1nrhDF9bQ/gLnJ2znHDs9
mi7XrcyCnoNDQCtSC4j2060GD27U8uOqqZcNTgYMT9LwWoc5jy/HpjlEZbluHy57m/pI5jwraBfO
fZsE/RDjjVNUn9bJvTCf6QwHcrox16FKGj+n0+tS/sjt3PLk36MquuxiGhzIB/eN6MKk7BmcYBQ8
O215M8LJEGwnf538C5LC+buxymvWhUVK/ioSeu00+dW6qRcUHaHjseAi6oD/vT7oNRzBcHu6rlQH
58Gea5cYzuCmHcEgOHWvy96Bs4FO826d5EsbOrYNnPlJdMhwSgc4bGonCge5iiRfZ6TFgqc0iWNp
4TR1OI/ORVriq7RdF4tTseBokbIWAmaYOprUhUHpWUT4qjIUvGPkfzn7siU5ca7bJyICJBBwC5lJ
ZU0eyvMNYbttAZIYBEhIT39W9lUXf/fnE9y2OyhSSFt7WMPrJZegNavJOF3RWpEqyMjyLuIgrB1a
9D1ek6QmTEyLnViH3hVOTxWNDwLG4j0eCgysYNnmRle9GcMiNOllsvxYdxish9frsuh4XeMcS47w
+GAceZDJduwM7VFQueUSEgNcV2nN+yL17iHX7bG5GbQhXr83BBN0uBGhq2gwb2k0PepwOfjeu9Op
W0wnmA2mambZ5zbS76SYDhVxMdsdznqLleBjpyuGlSlygNCLyansWDzco5EW2k0BxDImzG2aqdRE
vFuD/FgKuocihSHqrD4Jp4q3FHxui0bFeQ0Ddmxh9lCkrsuBSusczk3uVJmtjL2XbeiPfdE9FMl0
CauBtZsqn2tSRnP8jJv02PQ83sOQ1qAH1W8bsF2GPA4FYq0Tc1NkuRGHejiY8L/e64Dnhjnfeqw9
b2xa9mieVXUdT8fmCPEebuTEumZa1WOVBbOYSmNH9XvNU3uwaEx2ZzVSJIxBUB0r3bj5pDjrCqxQ
cjkUe/eAozTdtiw04VitkpEyZMCVQ07gYHxMdid2kUDgzbQfqzlO+VJEnojvwm09L469/e423VrN
tN2wNkPTDZCkUR83GR2785L9dUoGq4J0xbr32Xjn5nAGB3do7g69+R5vZKihbpR2BKcz8Z/DoeZ3
cZqN4tjC7AFHFHEyIQ6fNe/rab6AxwrFmaQeoLBy7P132S+GcWLoR4OVp7O9ap19bCZ5rDcf7yFH
qVAEGGM9Vmm8vLR8fmfF8nLsvXdZL6+dpVJCOyLt82/9YKOigQT3wUXZHdUJLfMsWNVYUd1l36Dj
td2tQpmDW2Z3sy4QuXCeJkOFk5oXUFyZisAF6fnYwpDXYVK7ADN6iacnBoJUCSShRP8nFNPfKei/
FDTx7pxO7QZ4XUaGyjDB6wLT4g7BJm03UXKVc3GnRmdfVjXLK51pwKqlaabkAyhu6fQW/b9Zv+Sp
YncCc8nhrhM95I9S2aIZD02YDNx9H3eT/mgnEqxl6KZefB+aJphKhsSSnKIEvfZzOq7bepIRumQl
w5R6u65TkHUVSbcmvtZDZ8FtDtFN+BIA2esu0Pia0xNNNzzTSsgGXaDE1cxg2xG/XhQhmz/dNJj6
b1sax/Vb6B4F3Y85SqapyjzJTaU3/N7TuHgIfoUmyco+hWxCyVzK1zseDTx/ZFkPXlg4efICpypb
GML0dWxn6AGFQ565i1XSxCejY56cTWpjtLBlY+KSy1ENyGfz3JWZbilkyoZWRw+2r7v8Kmm0xJXH
atsyocJcvQ/Us+5NGJ/i0BhfdLWu/YuMuiE9loXEu4CptnhlYqVDxZJmQNcnKAiHQNWh7blHetG4
dkgk5Vg1TP2qY/FSp+2x997jvAwmMZskeO9kras5l/d1Eh1rDtJdlEwMkCkROkgVXMa2og5yUeQy
Gg6uyS6z0SGnTGBoV3HSdcUmpt+s08eSPrqLkx3oraZPw6GCPN34DIJWezdAF+FYKKO7QNmwNlx7
wuYK2hjxY4z8Fcj/dfl6bK/sAqVW3BgzmqESGV8/6WzyaOb32XJw2XeRcoJmCGgi+VDlaCoXCeke
G8+Pkb+g1/k6DIc4wpBpGIfKDWOtTkNouwqyV+3BKmcP84r6NvIBxY5kXCXbmcz96os0SMR0OrT4
e6jXoiZbB80yVBhU/bZjfJ8E8zFGB/wvXi/OuFptJpcOFYTHgCNb5nSTJc078vvYu++Oq0kmT81K
xkpOuc+KdJgoZuwZIcewGDHZnVg79jIKN44EIYxiKIZYSF207cEEYY/3GlNbd57jCseMRpdAlLFy
DKBCcmxxdmfWhqBKJ20/gOgq5T2jJlkKNml2DN8f79Fec9dzAJkGhOF+hUZlT8NvqGndsVYw2R3a
dFOTVzPyVbSytmsd12uVhkt6cNPvTi2hUERqb7dT1ypezhbaouui1LGAs4d8RTra1g11chW4nv5q
gDb/5dWqjiE/4z3oC0pcfdd0YqwSlprgKvI+KsPa2uQPs8P/4NXFe+AX6KZ1zWTWV15GVH8YoQs5
lHXaQ4XUzgN0/Wb1DB052Z2QxYm85DmK0UsTJMlw7Ovv8WHg6bJw7ZB/WjdB2DNQHQQoVNOP8lgZ
vQeIQe/Io2a5RSaIzdUPquXgnbnJLeGx7tQeIubDVYPxSvoKvvGtKDbb2bjoRGwOJljR7niz2Svd
E/wBtxLAlv36Gej9n4dCxx4lJhfllnz1fQU1z7ncOP3tl+Toi+9ONp98NM8iVRVy24sk4p6Q+VgL
4G8K5T9IeCoIIEsIBZFqiSGFK4IYowbr3x9blF26vDRS8wjCYVW96uy8NoQXKmkPXpV7nJhN26Hv
8UWrVm/BDwWZyp86wHVz6N33QDFowPYD9L5UhVzrOTX+QU78D1out/32L6XiHifGN8wZmR76at5I
cx9JDb3ndrDHLrE9VMwK1mZQylQVFdnAIZyWTfdNuvbNsWO6B4zF+TZQ6OWpKk36rpzy7E7EkTt2
D+whY3rsOa/ztq/yuLGPs1ZQxVo68+5/f9NbZv9vC7/LmnPoLRsb4X6XPp6Q8oczz88yjIbhzFDV
9YdyLLrH7kD9o67HRcvK6/QHCvUnlTaf//cv+PetQ29SUv8ENMUmxGgQdCwwBAeoeU/zan5ZOh2T
HqD5boFa5Mp9U/eyysesRndnzq6KJeuhIwVf6tcvP5Bu3bzGy9e8QY0fkbGApMSxcAD5zddPz5lP
XQJltSqyS+ROfYvhb9n1fWeOVbp7aGDmWA3dST5U4QrlugLfobtFzDAfTkc+brxXn1fQdpxM3iLk
JORlXcL3PKoPLX0c7iIxNEOWLNR4dzRNk1OrMaHxa9QfOrUwuny99D1iTAB56eYcpbp+b1wwvvRQ
kT6UeEAs7fXTZdtHa0hmebtas3ejokm1tEl2aNHpHiI4omkU1uq25Rs0m4YpexfEvD24MLtiaHVL
71bXSgA/oMxVglM6ffUyH8zB5+8+a2ZsPSKzlVXUMHfKeBi+HcDne39kP2Im8nrhHWvR4bJTcOIR
34b7Dh4Rz4RAqvAPB+rvTsv/jcdQxX39B2DFQDbGVkSzm0DomymK+vWuFWbSFxRiK7lAS4/NUOCU
0D4NHKqCxzHtJvUVJurxZWXEX9M4cEmR+xoy6Qyy+eKN6pONlGqaXFt63tT+x1C7dr30I+7cck26
7SdVcfxgxm65d21jLrReLR4BDYymCCGo7T80Efgt7yD3zIIPfZuN8wkFW+zxr9qWTQjk53M3NoE/
4f+e2ycK8WdzKJGEEPDrNQGucSI3QjLUsqPu2eQifyQt4ccuWLqHxA2BSGAgYURFtvAXI9O7POJv
j22X2637j1QStaZTAbOioh44W0niKxnmPwlp3E7Mv22V3cW3roHift5ENY3Q6rjq2Ut7yh1QDyeL
CoFDmZPJ5uuxX7K7BqMph2mvSUQVjAE7x8LKix8l/3js6eT1OjWuXlEjUlGZm9dDUPvPS0f+tE63
xf63ddrdglHI2xVmFaJicm1fgKqO32QN375vXRT8obP5X39iF3TCOk85GSd4SWxUQJh5mfTUFkaj
2X5tLRhtfyiq/+OT71FzgCfw1TDJoSW/CHFZky0COiyQ51b5jJRAdB/rKtE9iI436J3UWmLRehIA
6MY+IxAdzKnS3YEOIDiCRkAvqgjjuIXay0KjPwTo//gSexBdSoHl9ODgngSf0uWayzm5DBnk68+M
GxkeQhf87dnzz3MNMeWUtW0aQKYDQoLguvMvMEA5Rm2leymw2eVTCz3rrkrTZLkAcw3N3CY6VqzQ
PZDOtGhF0jVqYFGRxZfROKiH5+2hOo6mu4McsjGSMpX1KTLtfVjDJWFgB9d8d4wdDeU8LHi09/G5
zqeLasmh+pDuMXQOQmjtnMPuQrTkIU2Ch4kd6+LRPYYOsMKbEG4LJ43OTvfdPC9VkNCXQ2FzD6Gr
k7QxjgbY7HBkOY+jjguXy/hYkrnH0IW50HUSBm2VtvP4ANTr54nD7eHYq98i3D9uRs5gp2PI2lbS
EXlZ86W/Cyd5DIpK9zC6wG2YpyjdVm3XTaexyR6DVM/nY6++u3e3LpzWmQ75aVFxu10IsR9HLcSx
piL8216vTDPkyyTjPj/1ZnoWcqg6PRy7xPdQOrjcbFxxJFJygVB9v/ZhCS+nP0Te28//l2t2j6Qz
QOd7MPxwiGYzFECNlSODovCxNd9dsB4iPbNZxhasJeXKno9QCa91nx8DpEGQ+vWi58qBcyGSHESr
wcPMRNb6YdhEe4wHSfdoupX1dZ9OND8p6zGzfQcUwB9W5u9W7b+s+x5LFzMfQZyKN1XkAmoewlYl
IBhxaHl+gFLSULVJ7mmRTkYlZ4bumi2nRSQGCpkjc5dpzcPp7MeIk+8qTYipatgTpIc68HSv8CMh
EO9plsznNt30JakXaAoH4thcje4Vfqgl1EuxzGdqVQOUxfIBlMrtD+v6H9t5DyDcgimCZMhyq/T0
wq8tDbP13Mxi7k+HtvQeQdi3LSxAoiY9bbphiK2ugw9Gk7CIHiub9hBCvYjVm3pcz+vQjGeVxfY0
5vGhJjndIwiRbSZ0pDDzi26SZTaBP5CK00PQcDhcvj6NY2riub45BZoVstNyjqdikOQYPJEmu0Qi
blYQ+dd+PZMuGksqoq5Af+/Hsa+6C1Rwp4Il481CxpBGFVkQgHu2xeGxW3OPH+SAyYZxQJfzAFBQ
MQjNYUtBl0+H3n0PH4ztONKITcs5yDGwiYXn59YlxxZmL1fWahsNmCEvZ8hrkrc93MV+sNCnxzK4
PXbQJ42dltXM575nEjYbK8Rs4vqYYAssil7vx9VOkMxK3Xx2aeQLEQpdpuJgrhLvNnsiVhbQCa/u
FeRa7OJ+h7o5xiWkewhe4Ec11ZKuZw72DHzrmqZEUDs2vKd77JcHDaJuDRKrdCQ/ZkVfVEOO0avp
HvrVKPQehzFe4Qqiw2IbYfFV14DR/e+t/h9l4h79JSMxETHQ7MJqmZi3zapadXGMSH2J9Yhb8H//
mf+4RPZIsNrQOo46/AiY+AYnQxJe9tt6DAkGz6rX23Js6nRZGJ7Oed+eMsDAynxwfx179dvK/SNB
Fx3OFPCM+jxuoytbNXWnWdXHbo89Eiwf43BRSaLPRsDkSjUZKSBg7I9dH3R3XJ2ijHlt9XlpvLxE
s/jooy45+El3x9U3KvYDej3nMWvSUsmtKwFJPQb7x1T/9ar3qUuXNKvHc6ACXXZ+7As6umPKTWBA
v356HcdSw/xpPLdw9yl9omBfBuX6YwnNHgO2Rg4tZ82zS9f1/oMPx+1TF/Z/kpL/j6O0R4HV1Npo
BVj5nOgIfJTbrT2S6E89wv96evp6ZeBwg3a1y/NLHKB1boKfg+w/HDpIe/SXiEhUwz8jvUDnq4Yb
sAc6cWm2+cuxx+/OaSQHOvhQ55dkVD0AuN3GmkcWyT47dlb3cl/jnK1Ihcf8ks9R0eXkXoYH05k9
+AtCXNPiCB6tYlx/NzxEfwyQSPfIL/gztHWTTvnF36SPhI3iEjZftji26Ltj2oWyWbwbYPMp6rse
drshO6YmSPewrzABqIgqFZ8Y4A9dHzzGffvu0Fv/H8gXZIQaTXtYqrFVRVU8SvCuG6vWj8eev5td
9WM0dXId0ks8RBsk1OM5vr9R9f6kJ3g7jP9S6e7xXG0gxjizNbuoMZjvltoY9TynIedn8FTT+sqV
t83T4uv/j+L673rv3/7o7pJNHal7000Std8G28Mykq0k41kInDp5aepNyGIaFOxqip5OuNu3zuk+
vQ5yZI26oLDuhCqkF8Zdm9oF9XdKLWB3fQhIqyho57y1BZKccXoULMrGJzPXNmJXOEWnk4ANquRB
W4Q0bykv9JKOSIRgTDmORZJPA/8Oj2u1RkUs0lZdqYeXLDwMUdCn/OQmY3UpHO22F0jIWdPCgBUW
P5D5du0G+9oIlswsLnIHaXhxF42CQfpeoWe5qAK8AjhzQwE1HfqPI1GoBrq0y36rUeE/63WKzYkB
7kuLFSskSmMsaSvv1g2uSyKkc/99QNM2XYtNR2FkiySDrfLXvo1F/lPBLk4ZEDn9oFUBta/OfbmB
9O5Gr9xW9BCNmktr2zkSpxTEyfrsMbIhZ1jabXNZZ9hpOWyarYP3JTE+CR+izLD80iarV+CFTYO7
g0tAX6ZsNOypC1cY+4UttbRsUjYhC8tUdsoUBHCLbeJs6oHf7IaGn5YcRTM8EROYCg54s6nXaZER
loI3YtqqjlOkjYglDAZ7+FpD0xY6Q2ZX5FEg1WlVPfk2LYqdYHW8pT/X1jt6GfWQiGevScY+NRNJ
02e61JQ++rrJVn6SHhyV+JLbNYIigmfpKp/A0MjwvcYWztF9yUOf8/USQtUY2ZgKBy/uHKOb/THB
eHfg5WDQDL6mYCDlH6It3WZXyj6GkxjPgpsMpFxlbwOwWDxAW1DQSeHBeHb4lsNwJQkaaeTKBLxL
C8FEfmFwbC8HtlkFq/rEBbO5ZZZmfgjXWZytRox6ZgNfuw/bRnifYTsMZL10NJm3cuBNTKAS2zh4
fxqY/X3NFtoPD/nm0QRqknDddGHHBc18+KImKbyP5bJQWP7B/5V27yKRaXaBwIrYHuCnGKGrHS7Q
VvMYMy+Gg7sVupktQHIyiKyFcv1BZADOjDZpPL6kiYqyU1PPSfcDtU8mcWhggGlOc5cM87NYQ84+
AJ41qUvnUtCE8iEcknufBEQ8Ro0V/q+2l8MKxowOhvh5wqFtzv3YOHIdVdRNn5tAZSFBeBOcJUWq
4nx8DpdFRD/irq4zV9Qc1uiVtcYk96Fu4+FLZ5lLSmjeh2Cjc0ujHNLOCZM/68VywQsxiexHQtk0
fga73Dclpku4u8DzGNwTUH3wAJ3IEMQ/h04beEHC7NJ9ED6MonJscJJ+djG2OXzciX9e8pBf4E2Z
dW8yDXvKc5i1Y/N+gueqf2tB8CABJtHQDchONyVidp3t0ve/BSY3zUPHJuqqYehkXU0kj/TDOsF8
t+xiGpOvGSNx/ldkRf0MCnlwjzGS/wlqiyo6m/ATh0BQcNpan9l7eEgYfwfxIPpF5m0M63YJpuO7
1DWyf4543UZXC4dbd4bxZLfd5XAMZ1XKNhF+Dlkt6vfNlPOxHN0SQBOxC/MZJBrFYOQHd9pEP82h
X8IrHdkoP8K4ox7erEmeNpewEUN6WrYOJtaFTTLdXICfjvTTlBv2U0IToC9r9N3sm2YLNUJJM2z2
zJJh0fwEw25mHkQHgeNLzdcR9JogNfxDk815fFXjOMI0vQ40+9E0eTeWvJ/F0hWwMa9DeA/FdLvO
Us3LabEkDE7L3JOo6KW341e65HiDUxLyCHKGG96iDfisi24L5v7c3yR5CgjaefEMV9smPidwEP5G
QmcZ7NU4PB5hNOzZE9Il/qvGEYZBt2yIgtGqTYbPboI/IwSOlILkWUGF9+3VLmDJfnDwp9N10UxL
uiHe+9EOQ9EtuKZtgY63mX/a1dDkEyw4NC4EAbWa/L3EU24fclxWfYaJIyad594SlRTgfvZJJfMo
F2dj4BYLu/poyfyD3WaOrsUGZ6n8LqwdckQw2ZrmOsNlLSi8btvghSVCk1MTszU4zaGJ8lPqvO8+
6dDT7s4s3ubVqoagPk2W1O6RwrzrbRjNXfuCLjJxomilXPILVOP5cp8LVDDPDn2l7BKLFvfdUtfJ
BJx3DKdjxcNOlIPX0VLGo04D8Bb0XLcW7Dk/R++XUCiQMfp4Wd62W5iSuwEj4+55gNJdOxXGxTDQ
ga54MVkN1/iI5vPyJpmnoP9O2i2Tj0zSGXusb5Rs/qIy89gJCpJt83ngWWsu+GVbd06UiOePTJim
vp9529ErSLRMPq2awHPrjHAk2QlWSbT+5SGVDE3zuemSu3loOQe2GQws7JEMOkr3Tbe48Q7GrhSY
YQIMcXieR7geFmaB7/kL/mb2yUTNsn2TEI0HJz0nzRCXE+QXeRkgPtXlVo/bS0fYQu+yfATXJel7
gFWV0VlQunFdYCmnB7uBQGLSqMRAIWve4nWT5M1mHW/vgp7EmBy1tQjWD0r5ob8HdLfxyIp6v/3E
rTH3AhqpYRi9u01qaFjCizr1Tz7MYzUjEntXX2GjHOUQmmUwHHu0CMjTG7hfzPoaLk2+3G0LjMBv
N/fWQBOAYxnnuVhynPIQenXcr7ycWuvcO5pvMi9gZJaxSxorxLdCUNvpN+ESZdN3r+cx7gq5mC25
upiG23OM3d986eYNFjT4kXSo3wi0w+z7TGAR7z2Bl/Opp2uy3OH+D0aOxSXKnK1PU8uRPC2Dx8fU
3FyMFYH6mEZuUW8N1szcTx3wg2860zZw7O6aYf6yjSlJviqSukwVUAgL+xErRW+u3dBMDd9CtT7O
vw9QXhHfJjkJgvoKgoi0VB3p0juVLrND/taEGSzEp2B1uArlhusD2R4kY1mQmPQ0Q6RhcICNpsEP
qMq7uAxxqXdXv07iQ7pif59FaCUr281j/qLSPv6cEOAiSuqyuitRi8YpHBGHdK2ITBNmCrqFanoe
G9hD50UE+c7LmHdyeKJqtIEsGBhY37thWrZLErWxeRP1oYb+Luas+Yc4621zMRJOOW8n0tAv2QyX
l9Mc12gFZG2wsGfXj3V6CXVnyRvMn2j/Xop09g9R108DAmaMswFYPIBqWSUgoqqfaiXzcSuzOOZv
HZAvQbmxVpn3s7cTCNHgvRJbQsawFmWaR+34RszoMRWN4nI6UwderbyAohads5r2/UmHNcGXaBsZ
PcXreHNyZfMt+cmA9m14mWcmISe1TmG0FsJv7nOXSagmFV6BtfhhBLmNfuIzGx51vyLjKhveBWXU
QRXOlYjupkgto8tnskL24I4zO+K+T7cQaToFgXdcCkfjYLm2eIXw3Tr0S1qShE0n4Zq1r8SGo/41
CbU1F5LCfRnOJBqSZ1Hc0uxEJXCkxUwjf8lxGdml0Endzc8roFN5XyqmUvko5tq9ydzNANVrTx/m
LBPhOYODzYZrFCnHSfsYYd9KE/CrYH2yfFhhVW/e93qNSgwaJvLNydqasrZNfId0Da6ZAiyaAVO3
Qm9dc9csI4Q1YvCqcdnS0vslH4sBZkjstOiQ3HHkA5+tSukDh5SSKljeTXPZRIRxaLaOpBiGuGP3
meXurxjsn+4JDu2A+vpu9vnTFBD9NrSQeEUJRJdH+LETj9wpivVbE4xAki9bWjLQyJ8wFAFZG+al
FGrkoCE/OZ2Rj4MN+FmQjsHbW23LgxEyf8MtFPRPAtu4TLbVlqSp27s4jvPHlXF3z6NNfnPcdC85
lbpsQ/ZOJlp9TLq8zwsejjNgJ6sUYiq2sM3tXHBku+7i4B7n7pgh/BOLtvF+6VyWn7CdWangjr1d
et0l9w7wxfijDbL0hUsL1MKJLH0a3NUqNVYWNXZuBpq8a8K/2qV2y8ckYcwVplWwjC9ZZKw7tTc9
gKt0m4dsSqYjN8JZd5pmgjqmpUN34sxEwb2JYrCxQSu14b1uojp/noNtXi4GPP/wk2eSsDJ3sVke
1nhM+Ddkrmo6Jwscz+/Gdmzjx26DAXqx8t7Iwkajzj7RVY7hm4mudDxDpsH1kCSYWXMdApPLr0ED
L+GuTFybtKdw7pqlWJMWqWi+rGlbaokcxRY1DSiVhUtgB/9zyxI6PZptMP4HTKks0qFmyRLsbomz
lYxFB8JQd4aKTk0qncm2e7dFqP3PQx9TdVlSxJ0TKhqeXqcb/O48pYrQNyDVdMkD8LM0OkX5luTX
CLSp7XcLfoB6s85LNoaly7lp7udppiErICiSYcboOyLdO5TGKUEVDMimf5hnOSMuNH1qo6dR4Ui+
CBSr9qtIRH6NB8yZYLtu06/RTEXwTWFKiTJ5GxKYIKIJ3ZTYHUiWino1iO6zXreTUVxnnxk4/cun
zCK2f5nnKSfdKUmnAPdV3SeBeWHWd3C1DwhJabEstVZlXlNJnmefbe53DLq//Eu3YLOdsw5Ogu+d
bLYcggPJoN/C4zkRMKs3UHet8jYgw1uGU4aIGFI9ZQhPzZaiWdj0oDXfdTRs7B0VjQjVKfYaKUAh
GWMcMvAD6g9kfN1UOjPechHYuCz2XbdozW2VCy70JzkHg7kMXbDk13nO1wRfzOdWnyYiN/NN5Am4
SKwR+fxtsWIyl5GHKihzsUYP7cRrVk6YJi+Prutijk+StiADzuiyl3o0E5LSiUFO5tPqoZILgvRU
Pw6cTJWtt+z9RIlbkB0k3o9vnJSy0LDrLEAK4yuFv1jWDRdns8SVHA6n69XTGQVak69pMS92CMZi
WRc7v0sjmza/DaxNsrMXYdicmL3dqwWf4TFxVyPNfmwhzYVdRyNF7+sOlqkPI3fD5zzDIpzossSR
LMIWuIFPs/RdgCzVhUG1eezrCnlAlN4vuAK679bStkIJEOVfB0icp02Z5Dxs348maRpIQkeKtWuB
TZbQMkNUdajmAhDnfNpE7XPW2dCXGgf+o4gSdZZ1y3octXq9H0J0MJ7Qr6DJ26zfmLi3Ruc/0In5
gtRjIQyWKgwQ8AEeMeR9T3j9DXoWXXviCkGx7bR4WpYQmZmHwIi9yjRrytE7GI4A/x/etamm8mla
6CyfdL3OD+s4Dt13GEQvv4JJzPNpWwN8xnhLP4k1vg13RIa7fYvtJ4ZcYjlxPyFXB65p2QppU3UB
WTlnRTdajtwAo0oDs7tsQ78WkXBGf2fpni3oCHBgzG6dHhC/9SeBZKwgCRDoV7TS8/mRTtkUvKUp
QHwABaU9N1fDOF8kPsrqwhmM7rprz1tIsy49dxlr3/EJ3vDnCDSH6fdmiDBl0KBz9Q1aDTCo1Uk2
x+e+IY5ga7bkRbeoRyrXd3NBOgTQsTCrhosdJ2vzM0vUTD5RuzamdGqOUO2ksTRb0ZlMBl/bNqp/
ZLfU5C7bwDL/6Nj4axFyiZHu5lOEZFbFYr3L4QmSlTnT6teQ4MgWGSw7StiChPFZ5nH2d/NPUI9F
cNkZ+pZ1jFIGpuqXjaQ2/TLyIAf/uM1rdAaDXEEZaR4hUXBCUqLsfcKG4aeUG40Q5+Km6z9BqS3v
SqIbS++6JXZ/oXTm/kFLUv9SjfR5Av9vZ8ijamw8fQzqkCW/IlhmJH+htGzQGfl/1H1Zb93Glu5f
aeS56csia+JFnwNckpt70ixZlvVCyJZcnFkki+Ovvx+VnDjaTqw+Qb80EiBwZG1yc6ha65tWptiZ
V7c51g47mQNHkWa8ar1YaFiNwC1RxZV9lVqcA81G6WEf2YhA0cgbWu6Ek1lsdzPwoRv8ouynW2Qi
E/pJt95wbVm0+yRjQT5CQGGWbR3DLbKzajTGU1FOw4ZTiUDfJRv0J1zz/FiRHLI2nmEANzJOaL2v
E89rAqarcvS1FecPcOpOfsPg8tGajvzYTtq6Enyczrm3JDKqY0QvbAo2T9sGYyW2RBf2nmJMMta8
yu3uE0+x+VKrGu7hYUDej8+aPja3Y4+I10cEiKA56+aRJg+Ahl3h82HGdXDGLMOy4LnErVFxCPiP
pW0+JhNHkegCSlAKVUbGLMTDisUKW8jg2YZJBdxkxHh1zCkR7ZJuHW3re8SvZ/mNI2uYwCdMYLhJ
cSK+mw5E9wGW7dmMfgtszL3UeSJo4Gqczse6jsc6ypo4SwKHCj1+WbWu+7oqyvI4CbEUOEZudTc5
oWNx6SoxomCbUzeSUlv1DhJKMV4Diq42WCaqKmoZy7rQSYaCQC6HwbCberSxiCAf44B7ATgi1qzW
aLdHiJaHeTY3nZVkQ1CxnhQHyxrKZYv4seXZYhib5BcYDXlUSz3h9YklLkc+2pvco33QNGY8uDVB
wZmk1XHWCbuBermBQwD5jsA5ENTgUhE/WAvk5JGEQ2b+CJxpGrARdTZ5NrJVjsAMnHwBPNAVva72
FRiK9DFZmq4McKdgeJd5gsocK2YxlEHSxBr55Qgv8s4RkSZF4I1c9/uppo3cCozlxmjUeOAy9S2G
2MNo9Nz1JbSyQSlMV2zQMWHxycNs6bxxb2DK8HynnkyB1xh810uPvTPe69bYKhyQqG1DiVk6lNzX
FBVaOIxemwSCDhxeH8Pn/D7liKkJbeTNpw8FAA3ql1WfJB/tacHqoSyLkwMXpGRB6TmFE9ZAw4ag
rgZAWz5MUJMKM7jQ7Euqm1ZeYyBIOvgzUqD1pp9jVvuzs1BUMJ4m5qvVYqqCz2D18K4xy2YQ22TW
o/jK8aXGTx0KVH7GOlKIgBYid64KNdoITdZoCpK0K8ubGQb+PHKyzi5nn8FsPwDATKpFoVE3gBzw
UE8oCjE2PW4w69rr4vOkttNlT6g9VeeeBk7rc+2OyEvXSftiMzdNLpwlriDuie282vVysJwrGOwE
xzvVussI/qeadYT5jWMbQS6mywCsCuu/VGPZWRiQuBi5twrAKQ92Ua53iKPxCUnr6QyuRTRg5UUP
/DAP4K8wXe8ji4U4R5s7DM0lM1a1S6GzGL6Mzux1Ycx5bLYj1usxbJnW+aZwXdmEDibSmNxv2nJO
InSDhXeMKeLXIL4s1vFgmJZWh1mSetMhNraQAXwiymMhkhhsvFBpXILPBhVaqwMfJndBzWI03QEk
qMHWN6jtfOCwJPfhLFyysMFjUER06knzIlKWFxZ6B0KNi3m3CDH5pvOygJ8rB0NmsJmWqBNpYBWt
t+WOduZpnxPpyntkRpfmbERrP2l88ZRmFDXI5NaXTKTF9MnCt/EsPyHGrftoTbNGQzrIZaAX/dpB
H2OrzicUX9DLImBqjpW6nEvSoVlpe5fjBac5MCsRgGth6FbtrvSqr+mM7hoCuVmU9ktrBqtBMSAY
GqbawG47YFpN3R46r+7lJcPioVAqymx5zhOwEY9ZNtZ5RBWtrBFXV7sVZjHzNr2mKPfxLjueoCzS
KI2al0RTNkrfEA9pzaOgvbwjwOdSjH8B/m++eC3t83tt9bV1VSsQPtfD2qgisWCWhROIoUGuMWxz
ui32SQneCw8J1W7UCjQ+fIM5in1zhANQsTFYwCHV6HTTVqQitBk38jhqMElnqK4lP0NZRLvbqsjy
9iCUO9Z7q8es9EfXtmM74GvNFvV1afV+IZzROqttpFNdW33Xp1jjEEMfeKiMq83cl7K9SDsDo0vJ
bDHcLQV0gYG0O5A8qVtUiJhplWW+St7p+M4dOyz+FeYbZMNysBaM70bJilzDYj9q5c6opzDiOiBi
Mv1urivP3bVA2cdtkfPFvgeqyNghzcEEBtouIQDYwHhqtzLEs7kA21oRNStqWsfpA5eXmeXjnTvn
upspuEaGeIzIJpBWN1FqEfA9vALFM/sFRqxJf24mzcI2EYzuzNR7y07TybIrRLo5Y+8B01OYlVb3
HsnOGGm77p51SFV/EYr25RkK21REBUt673YcQc2EhZKZgjsRgrSrtKoKfoxVUeW3o8SFOc6OzLuD
3WOkzvmAc3Uw0Xxe2FXWi1Idpqz18o9o9NJ4COwe1XITZrUsAVtTZLSldtDjZdZWgOwPPusQPKCQ
XpRDDrhGGIvPSDC0OxJ4HgIwy00JKqjr9yjAWlxYIzLdXmGfrgA8Q4wDKg21mzffurjsMFd5LMmX
j2BP4ika8CZH3rKIMzTR3Do6VuyhsOM20uuclcaTztbOONfbPBMNO1uKGhZd4sy1+TymvYfQirxH
dEhklJ7mxCcjZwIcpwPRld10cgg4gI3usRwQWX9VI3ahc6I16pUA05gYhrvLdvGGLPDKcczDuWzX
iXKm4xesjWm1x+yPZdw1le7dUA2zrs6cDjk1gEht8K313Io+SgHiE9/qCLEicJQmDQupPLSduuk0
KiS3TN2nSWCK/DFeVDbdIJKBGmDvSdwuz27FXPVF57Vd7G0XVse9DdS3OYe9vDV3BSKpUdtUjE5n
hFrd/G1uWKbP5llZHQC+yZHB4qEc8YEv9+BW0q6D2K8x9Ly3y24MzIzBofsWp5CF/eI4eQBtPAdn
TumqUR1k5EEefFEMmAz80R5z1Z23ZiHVQWDs3bLebRHD6+CZGZPhO0GzL4D5LDfMmLR0h7BW9DNB
V+FpLzeorHNskFhI1zZ/bPV46Vnt4AazZZEWL4tsWtglNFuvoKcBV6GSaJl32YmhsOBLT0X63K/7
47Po4bNHvAFT+6b2ZuLbWO+KW7dtHYN3T7GyMb6WHYz+gJgwKEokdmqHrsMsyGtc1cQXTiLMGGEZ
RRbiUFTp8GKySU9n9SJK9qmdek7RvDRZf5hnsUyfpCj1cLlmOLq7ruxjv0TYTeOjGlUrWK6nAXsu
CMwrOc+eOHQJnAYXIEpKZDCgNl4AbTU5UCuGwZWUmScYVxvpw1jkjJuJ6xyoXdskN5BJEFREA4Yy
32RQNmJfxIwNZDd6g4y9e6FtD3LtygafNWyruG1q46fw+1G/ltARuAG477Z/AZCkAN4CsLHNE9CK
JbV8blC+Zj7DKmuAIRY13B4+QurRd0YT7KEYDlRNlCef4bCe+9bvRwyxabblYFiaBWOD/HDUoTaf
GAlbN4GUI/zPrjWI57WY3IKpck1gQxHU+ZY0TRwgKNn96OK3reMwJkrvvWTFfhXa70mvayaNL2un
azdAC5YeSmUrtvb/GfeTPc0dLXYI6p6m0OZZ3fvLnLBLEFZVH/IY5u+/p2A6TRbiM63KuuqKje09
ZPSOD39PoX4aKMQKdwBdg8910xsJ0CJlf9NCcxonVCOt0YtTISJskzZAJG+wzzus1t07Ht6/CKwC
ZfBWAwgozDFQpIGZsPD+NUmdmmM5WjUyELtWA3ByhgxjAYTXOFdTB+gWDVZm2UFtTbhPP5dQraqi
P1MbnQjLFCiaKbVaEdWYZlqEKZwh5xAPNgHqNdCP4OLkO0kDfyWmOtGCtk2HRw2a4giBAI24NXMd
96FWqHPDETsT0kmRSFKgKp3m6p0r/Bciy9N0ogz6MOwmDou4xEwOg9iZTQOs+Z0v9FeffqI+05jo
14nEY1COlF/yltyPUsfvyMX/6rNP5KEo05tSq5hFM8Z++Ek779O+cP/mh58ozAwhpqp7ziJg0BsQ
qakfEyCPP3+g/urMT+Sh8TSkhnkpj5RtddjTh9gnCXb/v/fp61H/IBJ3cu1CHYTr4iwlsnmNhymT
S3378w//iyfUdt9+OG9JOeopw+OSCM957oApjYHNZwdzhaRTal/3UGPv4BRi+m+N53NP82wSqUaB
GCEWYRwq+0SbtrvICODVn3+h18X1T97u0zQbkc0uYCFFo1J6CRBor5pHkCv452Umht9TVN74PxUl
Fd+mOrvLlvSO4Elju7hL+wS9iko2mM74PA0uRjf7RqAk+/Xs/s/X6f+ql/rq1/Po/vlf+PPXWqPZ
V4k5+eM/7+oS//7X+ju//523v/HP7Ut98VS+dKd/6c3v4HN/O274ZJ7e/GGDutzM1/1LO9+8dH1h
Xj8fZ7j+zf/uD//j5fVT7mb98o9fnp7LtArR9LTpV/PLbz/aP//jF4esbqPfJ8quB/jtp+s3+Mcv
/6/rnsoff+HlqTP/+MXjH2ziOh6QVMq58FYH9/iy/kR6HwTz8NmcUps6rz+pMPE0wRHFB48LRjzB
8ctoo/FOd3X/+iP6gTge8yRHO8tcQcgv//rmb+7N93v1H1VfXtVpZbp//MJfd6Xvz5LEzDTbw5GI
t/a0ONbJC14nKHQS8NG7OFmg6bEnKyGbnsRuhijpHpZCWS/FlYQaOkFX4soqGNRshB+bDAVqYsQA
ghUtZBsutSFRJe2FQUjE+nqHCOw43dYztSAXaYeNQwhdH1TweFYl0gNlUBX6qpeAer0h3fMK3Ber
uiuaVs415OL8QjkzKFDHqs4mx0v3nYqn896ht5LqLsAVnLe2Jm1Y1445R+52hKo5zCgS6xh3D6Is
A8R39yHMHAuibAbMhzRY06EUryMx50sI4NzZuCjagrrxzmNlkYvB6tQWErrHiqQpur1Chhn69GCx
Oy+qmfusPYcFI4RPVZlDX6BTYAMdW/x+iud9pmtzvXjeeMhTO3n2Gj4EBaYLHypinpAJLne2sNso
6zW2SSi6zmXKX2KIZS5MMz0vAJEi1HCFTzPrgjfCr7Pli9cke0u5sIvHn6bGPcLefUZFFpq5P5SU
YFy0XSVAMayvtJZjFE/uc1GswxNqzHwA7N0Xcx04o3unvGSALDdbNixHokCpIOVqSPYJgoBpY4R4
4Jl9lrUEvZtAxiakv2k/NRtPNZC69tZwJCvF6jTkUJb1vJ1Tup0snvp4Oa/yVkNzAalNuaGqdED4
0y8zxB5h2XL7enG5czn3GOtWAC15BOEBcA9aOfXViTnUZdmET+hda1uRkX5t297aFn0jL8tSiaM7
8flb6xmQOxAwND6azeWYazBqbZJf2kSn32g71tApg8smyoL0owOJwtLCPGuEwSOL17pB6XDIka4a
EEWguF6s1r104jHezYW8guTPC0e+3MikvgbetbWwjl8tZTru2VCkgI4w0NW389i58oa6CVM2fy2Q
ehRJq3gs3X447wTfW06x2Ihi7/IbIcBiCt1kx8kGXdpwGSE9edxUKyqHDMT5aHJxCVqM3RjVdeRM
CBCy6AEq0oQVvAeQ8AD16iPk0vUpQDdMqsa09wKDGLIBXzYsNLIl/Yz33hjwHmTJhi5xaW/zFHqF
wLIy56aV0iv8DAP1hhBoVZWHBbAYABDQEYHEsNHnbDohZ4VAjCTlgSB1LMIYmg0YwjLIJHyMWUmg
pVbtoM4smpZm1wPkNUHi5B0wmxwUwicrzyDNw/sszRLmGGZW+Mj/loEzyGq4APJm5h3C6tv5GDdJ
MUZyYgU6mapt5S2yT1m9z1lh1QAb08XDcTMUYHYH6DNQjpVhHHccv6IdYEk34NzrMlADOOptAvgE
ChDWjHxjHDtNMBkYI+qfa2dIyqAmGAUTQvxaJ36F6KFHG3FPn6oRb4xnsviqBYU+h5C5gfEDwJ3U
u9gZCxs9nVVWAc+mlZ6pCwx+hHwGFwv8ht8OdNPjND7mmY03BNSAj1GWEDxnVXnbZcq8jHEDS0ea
jCMwviwl+RWvszKLlp5WclOaoVMXSV7h7lNQEVs1TI7ZOHHeFihL5OKGwB50ti37RJA9b1pTfG1a
q08jT0DgGziljDufDmR5qjxIIpqpT268arGR7c9xwF7noSHlgC+qkU65R2Rxy/wGTCJQ/wOHFOAx
5ykIXo+apxElI8RgydSc9+gVKh9mvWxfTnx5kgziFswF9THX5S4z4g6awAdZZVPYVc38WbKxiWAT
KK7dDG7WPlUoDqvK3FIhalBbnfwMer3F5G1Dl0diL88j72NAKn11D8IKHvIqtLpsgE8A8hGOz23R
YNuEwQgwjUN5ZlpkbW49K8YVxfQwaFQVuii/kFZzObcF2VjJFPdbBU0RyAqRt+PGAUw3HrFq3w9Q
eqPFg171FoMwC/cGYtchjgohJOjljh87p4JIYgZ9Mt2wIgVaWNAGuIFd5MltIUjybPECOPqYlnC2
yZamd8gVNcOjqhfTHhaI45coGdKO+40CLpbm8y4fpy9TksXS53iWQQUp7oHO1EtE4i4DtdYNV8bM
6SW1KhUM7jSdS7e/xhAgTJBIeHYtgctFYP2rj9ZiizOkGk+fV5HhtUYWIoKg4Cy7QzzXfD1DyFFc
DV5df6kg2cWgkGXcx0MpLH+EYPKJQxh9bXVe6wvHeJeTKSFvMySTX5Qj+09FmiPPpK1YymGY7CF3
i40rv8liac703I/f4mQY+yD1alHcdVYDxE9YkBA6Lk+SjYBAoPiWSt6qILMS+yIfBn5T14R/Qp+b
bQGKOyICTM6LM1I1E1YFSN+tymvvatVoRFxDHvziCFl/G4Q1PoyN0+uwoYkXclZCNUIyA1YWOsPm
Em2ze64gDSnPC9h27qzMbcqzSk8y30HVTjkirKwh23h2Ih9EreCpyDpv2mY6rp0DJzl9rgGRXfPc
kXc2yMozBPCn5IhhneIjXIzscelXTcaMVdUX5awe+GDZ185EMDetmIsJGKQ7hNIRfBeDotsQxcgx
UY7ZDxSEv6+oqkLWj9BpC1ANeSTbtmyCBQJKB/z50n2EQsO6iCtoVv1JdU3vc1Us7TkyKVdYRpUV
5GOY+jqDc4XurreXGSahwtQHAGsI6ltct2PXbTYUD2Wn8NDVSrnDphyG2A0d0L3ZwavAXu1l3Jt4
DzjManc2tbH/NUry6hoaRGu+xBiuxLm2QOvO/lRnZogsaBglBIAC+LNO8NXDcSwUVG5WPrp+Kkk+
YsKCx9RZWll8DoZqHK6JE6fqQDWsMmfgpBeAkoCvZKC7+sarIVQFmW7N/U3cpEzfxyATpxIi3KwA
QeaA4dxUOV55CLq9AOak4TwXRG5H03h38VTya2DkowrKGOs+nxoIheni7jwmp1Ajqm+H/ay8RFhH
uZOik9uBJglMR0NdhBbEfmddTDGnocIMmGMKOVUT6KLRIx6IoYVIDOYcf5oRENm79gUo9hRhnfGN
jRceMpg03hhuY/RpoYcHSUDFlFmqPmZdY4IcZAiG/2mu7ihTiYK2GrvDYtXTfpllo8/aupbI5qMQ
de74hJ4PGlYD1Q2ocmquHKewL2UnMITXStyPdDQTxsSl1hjDGpNjWS4h8cKglywr9xaEpR9nhF7h
NgM1VRtv7vvbyc1GvSezzA+Js6hnbHNYLON2ZJMPYNBVOwxsizcE/ceTJqV3nKldXC20vmoEmbZo
+YgP4StETdXCzupWS9Aa7NgszN1UjrlTPM2Jn1bxcbTY8oQNI7tVwimeda+HbZM3pAEpauV7YtoY
6n8Yyp5hJkAJVjPY5Qp73IHyxgalp0Qg5TptM7KxOwRJNq6woUFysRFsV2l/fM4S42Fc2whF8DhN
yyVk7S2SZOb6K1ier6axcjcwJC29ALEpDGyeW3iIAStKDCn5Q3P2Ww/0x57nLZTxY8dzgpe4E3KL
6hrgNa0LgN3wHLWHCjD53b9/GEldj4PYwXzl00lgwwI7LWQG4x7RNWPlZ0oh2nlu6HuhEisu9baB
W+8vAdZmoyNEP/cW5iCe5RjpIUF0QSbJU7bu8Nws6AgU+MckmKw8fSkGIB0+NaUj37mYr/bj08Nj
/riAeE6guz39min8R5ZuXbOnbaqjZC0EHFnyiK7FwTB2xbVs3CbKazp/zud6gs5jehhs725BdUFf
ywzA9sVaeFTwdWDC6dUkYCrjLmi9gw3u+VXHicme1pgWlx2Eg7lfiyX2NTTyLUyM77j+30Kn6+OB
TtgWaNlBKTr8NGppcWki4N/S+wWUD/Kg81RBr1WnEJX0fPCwx6tCuu+Ajj8e1LW5DZu4RGXKxWnC
eBvHig5QOOKgajlzhYta2nxGvDDmVM/N08+fzLWlf3vLcDBie/iC+CR6mhiiPNeBZKY0+xHkBvzw
zvOUW1FpT+adb/Xjm+bisWQMJjyAHO5pgpADNRuCttIKaGfpmEtKdIyNsyKsfwcRJn9y/cBdoItE
mejY7Ie4yRyyA7awYg8VJT8mPUoK0CGJOgP64fYh2DMHI5fBg8FIlozdZT72Lr2ShAXYiJJnuGhQ
/WkywAPU9vGyw1Bv1Ifta63484v/wzUhxMGj5QHYwWVhp8khClJI09Yy3edJYou9lr25muoJzdK/
fRzECzPGvBVJ+iHWnDdJ1yjVJ/sKPvY+bIWDjA8VYwjL63H+p+G+8/RrW3f1N3OK972BCP8XgYIE
ix2W4r9GBc+eMFDz6Xl8edF/xAZ/+71fwUGxgnl4GYHzrSgfHuF/gYPC+QCT07omSCYR0L2Gk/0G
DhLyQdi4rR4WXdxiSBV/BwflB4fj+cJPPEc4lIMi+TfAwde0kO8LBfcQOy6IEDbh3JE2Oc2uZ78b
/vlYHkCGb70RxjVVto+mgxEOw6TDnK97W9sj9k31ARP2fQJJ2lndDQ+wUn3udXvB22XeTskAAUNj
rjJVwazCSRrWvZWGje5o0LLiwcgO8mcvf4AfEZTtfMDOCkt8z3UAXhz4VfZOHsXbJeP1y0kEpCAP
QQJFxU79dt/8nsEwlRlm/fVRHn+r/ltRDKdHQjY8YfCEekBZCaWneejKaokY1kgGiHv9FKbyNZZh
NnVItAr/8Ij9SW3zGmv0/ZYJDGXmgHHX/yCYjHLnBM79HjBe8eErJHIiEGX1CeY0kOSwIcYDvN4F
H/LQxmj4UAx9F9icQtGvmmQbI+d/t2B4KU3FZ/ytOwwDObeYs4SMtQ/KGo81F09OElKmeQhJ8Jd2
QpyidhO0OFUD6TYG5KC5BAjp2gcAY93e7ZIuMAPcBBTyC/iq5yc+LJ+bJn10Ybfwi9xm75BJr0zu
yTXAymczh3PGGfJR3t7Z77GmCG7fQqrskxIjEXRiIl3HW69+0CV/skBiOavjNI1TgCrlM4r0l5/f
jNcDvT0RwPOug1oX+L6UgOrf0FsneZkE+enBYIkHqbo2nEjxFfkIR5rNqyv12PbLXc3m6yHGDCBX
wyYHNea127e3sGeEE2u2VImnJVOP5Uyi92M3nbVO/OPJCs4lFiFUq0iUZVhC3p7s94kDtr3Ah4M+
VNjjHcZj3DYWP9cmvev6ep95fLdMYJca+x44DEBCCuXmlMAPloWApkDiEXi5UHgmnN+Na6Tszy/q
D3cX54nGD0kHFK8SCBDwKX/kDL9nJw9pcatlhhalhEgbtudLSDaPXYyYGUyusX3K4UeFz/FxaJZb
CJA2ffdeaOZbalGAunlzLvKk9rZ/jyuOUW9P8ObnHvFfY4shr+rePdzrmnRyj1A44GmCTFMK5wcC
8Pd0atcsq7lK1wAiW4RGjHgq6C1RhQMVc1mHA5whMAaI9Ion857ayaOYXUjbs7jbKAwH9Suveoh7
BqMM0nOy7m5Ji/wIAVMR9LE3RTFLr73S7kOTeb7lLmfSdHSX8XjyNaCdoB0cyH5rshlVf5QejABW
BTMJpc1Z0Vgqimfo3rXXIWZF2vMGOO3isxKEhNMqd4NUz6ufPxVvl9hfbwR3bI6qCrwYPZUGwCj8
h3Dnhaoo0xdTJlFFv5NE+ievCapzF5uipDjQD8GV34cJuJk4pkP+UjEoaiH47aAXQ6npdcmnbBpv
abPsYR+5cWfncyzhXUYsy2MLfXrFumfAOX5l5zuYJe6Mac+nutj+/IKsDOXJ6/z2PNc69A/U+vdI
+XjhZzMZoy4XWWBn5QPGqtkA6YchTDQSQhIL02kLSKfhaJgDqZsHhdYVPs0FFBTtrM0E0mnnZulw
3mJ6UJg5Y75jlYy3quH0AItoft+PFH7oxlzAyQy9ru47XxsgHJYDzxjAaig2bYie4JGBTbFZAbJx
Nr7VpOUGzF2/hUL502Syp3glpSc9zo8z6++dRfJwQeWAzJihgPtctVHcN+pY8XqJgEDf//ya/fgQ
odphaNk9bNOYMXTyNufGQ7nhIjlZsfjC1DkWQWjzXLGNtRP9/FAnDcv6wL7WHLBSOUhVZKe06/cQ
6MFZ3EPfL5+WVLtH3c7qPoFJ1S8aUBPVfN6pb0qkY4CJ2SuShg12NDXI1plw3BTWXhFvfufk3vaH
r+eGrg1vLShpvE2nZV+RDTADSMSZZ2VxmFW0Jpovzcd3rsC6Tr9dy4QE9ezYAscgjjipVL7PIsgI
jNOInNnNLM3DmEG4nybIIOr6m1Fp/VQ07COmLF+zzoU/EZEEgiJ8FYMZtd+0abUR3XQlW5acFRbU
820M58rPT/XPzhQGzleyHkjL6SwekyF3bWJgTGGjx6qCpMchAz+UaGAsgBF96EsiSAOP0nlvWOxb
bAd3QiCWgkvoBhh2ZdD9b1/i75nYpRb38SiwxLRwadSQ/Ds3mLi95iq+t7/+2TEhE3A49bDDont/
e8zvUdZeE29BvUMNn+rpoClACSdFaV/2XyFh/Ngk9ClL+ZOzOEkQW18gq1BBYtX1hZyqb5lw96QW
QfourPZDnQIzJ6xlKHABKki8RW/P73uwMoLlVtPhNmZxFGd4XZDeBVojX4ojZKKAHZ1vGUsO/cIf
u7qdIsPjz22zAE7i9MYZh29ZkkTlZEcKnC48EenVyPMt4AFsVXUKHW39Fa47uRG9iga44/ZAbeEp
oeMhg6TOL6cunKce0BbrXubSvutnChsvbEJzFQ0gBKiKx83gtvk7d0isZeObN2eFpWwXwnCGd8c7
rW+/Jz93g7hDqsr1IuudqODl0hqjbZGa3W462Nj1pIqAxPg/NTzRkP10G7DNN6Ydb2ibYTOwIHJO
cwrlcosNXti+LO0H0UDFXHrd6MNLdqY6Y1aofUakiorakROwJfkZtPNjmMYxyMK6AiImbwfX+4ws
53MCpUJeOPs2w26QzVU4wliByVjLM1wYOuyd5qLt03DAiRK7vISl8GzKsrO8yBmStNjTYEwIjzem
7FXj1hhowS1MqEEPspm8XPhQNi0RrVxnM7kwjlk28e2RKN+UUziTfIoS2gVQDFg+fnRwmP46tuqy
Lh4E6OXUvPx8Zfhhk5UuymW8mmjtoO85XRm+x7K7cHouOyZ2Q71roEL4V4Lc/zTM8r8IQBEeLA5r
efXXEMq2BrL5q0Rr1WH9/hu/gycQTTGbEEQIvVFWCfcDZwiUwrZCbeyvK8j2L/CEfUDaDccOLwDz
YjoCltTflFWEfpCQFBPka6O0A7oj/x3w5LSYWE/MBmyCHgVbPbD5t8sUPLVDxYpx3AD4R6jfmCxY
pAySR0lS+xglO70z1mRdlv+4KPx6PByQMZS/6EveHq9QbpdzMDKbhQK1Rgn8bVgQQAUNznuJ9gCo
fjwWk3joHUCuwDBPB3lCa+q4bpKAdyd2HmAkONMByHCyzxxHn+exGs57JDJtC4icQ9W03jMv6uGq
q6Z8X8KYWSKMJicHpFNpa7WZ0ByNk2o/0QJWUTCQnF0gPoAc1hl1UBEtLA46ImI4vSdMXvLLpZgE
TAz1i4UZZT6XObmDnwnUpivShhwNbWEbXqMUgi5dYvQwgr7AclxvOjnCRwqkqf/WQ+j2AgIMHowK
O1sdF8sVlNkcaQnNrLbN0GcBBEPDdcYXDHSxPXvYNXB6wReTeDiVHvaNTwhrX1LfSRpYylNVCOXD
+SooIrcssdWL+//ZO7PdyJFzW7+KX4ANksHx8pDMOVNKDSWp6oaQqlTBeWZwePr9ZfXubbuAY8PA
uTrYFwbablellJmM+Ie1vsVOGw+d1obodOQc9JBp6kC4qvuJxwkLV+8cXMn3wSA/fKO51blanGcG
KHkT5VQdx1Vq6ymFr3ed5+I8J+hFrFhXoUybN61MMgxb5kNmkZFb2e6Z26gLUrBNQdt0bSjwiJzh
pYHsHkc4LMg5gsLwCwKyHK8KUhgPG0Ob86O29G8p/BSuNAurTpvWgeNqHsQh926osgx7BoiaJAd2
b8zDxtb8jYqrZZdL88HokOya2iOoyAhEQR/AL0l2HmV2VJT+AbGYClH58vJdlwW6IX9WWeoH9pjx
D8lCHzLV+x4oV6gKVoh10uuRY/HiplPqkfL0h2nEUjTWHY9OJd+lSfYnmd8RFJiPCXVFYPRI9DDy
7djQPIC0J7OPdzQXtxWAlTwhfpAhdp4fOOHORg7qAzhdCHMO5SCkB/ZXTWj24iEWOejB0viROeUW
Qzqko3HYCT37qZtOvsnj7s3mv6jYuwMy+DP303M5yKNsciPMFX4WlbRPsnOI50EnvahTEue7QWhn
EnvTTcMVGnrzDUHTxm0rz5mwJj3KrLi/bwf7LtXqNzChzDoF5hkxFSfdnz+dscmifIZmmIOug5rj
Qd+RfgVVavJx4xDpvHpYflK/zRjEeHfmksg7Ec8f8AtfZ2k6gMMnzEQiT0Mn1gj0kGAyXGJbhBUH
tdbHoelSaudsd2dHnmSc1zunM99y3ecXQNBCH4keYko/Ytu64WQH0B7CDfFq0+ZhEy51XtqZTA1Q
26AiXH9TyAf7gK7AD+N6WgKtKPogLnlQYaavzwMwyCDu3edJ5zet3PKsgGkGlt58IO+qN7/ui//X
1+b/f9sJLh+X5d6/ul2j9x/d+9/eqx9/u3uX793f9u/qs0j/8cI1/udv+e8bV/yB0odNAJv+23Lh
dq/+qWVmXfHnaFvwZHtM57ju/tIy63/QTfqQOJlI278m0n9JmfU/9Fv9hCjFpJDS2T/8B9uK3y9c
2weS7HKz4+Nixq7/1r1nXK4zjVq8mbj2smzeORYu6t7kAbL+zXDlFyn4ny5brLeUfB4vCLiPt+Kf
L1tZak3d2H28sSskb656XMp2z4BlW6H9X/32a8lUe5hefbHV3PUesLAegjIrpEkzNZ/mosGFZO7/
4dO7/vny/6hr+M0WcPtE+KmECcsDsBMlwG+dUdykte/ALN0AG90MeXsonGkIJzRZhuw2K5sUV0NN
x3HicY0BMIqW2CrBjTY7G8ih2Tz86x/I/PWe//Y+eaZgjSpAbzBQ+e0nKhO30cCJxpt+HZOdmVkH
iePy0fKN+H5m/xmAQivumwIcCufPeiR+vAyH1R5RlyrrsCbVNw212kM8GMVJjF58sqz00LgVipMR
B3I1fXPn7wVdBm1D4NTVBfpcmk/BjOp2qezAHGXgO9pG9DrTfj/oPXST9Rq1iR1Wpn3RiWLFxL9t
rCqCiXIBKrQdkxS15ONk1o9oaiNTgnJtVWh7wEaZiN4sxZVuHqUT78a2PveOuU9LKEPdG2GdBy1B
BKY+tOp0w/AG1iSODU5l0wJm+qJG9arGvKEZw1DdzO7BGujrxwMXRlioeie6ISr7Yg4G+bBaLP+z
u8KzEZ+vIRCiTenGR4Q0Uc7p7cfFebGnp1JVR/QZNzz8Ho9lGY7lsG0zgLbaVAbwn7gqffg0EzdE
d1GJs+3Fz9mdYG/wmsW04Rjf3lBFvf1K333M0G65FZqfwkbZPaJwVFtgOCH4W0zdU4goj7eHl/Gt
qGmnx7qzSTyFsaqJ/TgQfLdOKnJRKAFDjIz2I3HvTXZD1YrdEkLNxBXCUp55Ak+m8jZMJEMtfcop
A7TubmkQb/rJu8pihskf7Vx/61Had8gGvDbIJZZWjO7+ck27au9RW5Seu4VvFsq4H+90326eQJ99
k26pXZaWT84d83tEtdOjuc71EEq+WuYQ+9cYpu93KVqWP03Dm1aSXcsIvyo+ad+TB9RW9btPkJWD
Puj20FDxAeKBkDxZT64xmlAcTSghjL+/UujXaMv8G7L3piakCpcvZZPjoF0Edqm4WtvAzKHvBbE9
lk9evoxbAwgiWoNVE0E1zQvD8saZ322a9D2DdKS5c6vkJVFNehajuLe73nnoVuU+DmbZ/jnv+99L
8t/4elgVYE63dLr6/3sPSmH7Pgxpzw2Z/NPd+Pc//Ofl6Fl/sOi1dNtjn+xxGZl/XY6e/of5pw4D
hc9tFcy/+etyRACg0yXdbi1kK0xC/96Oun+4FkNYFl0GEg6Xy/w/uB2ZSPzetCE3sZhemh76AF7v
t7NYjzOV859564IDMbezgf5u6jMTFzkicjMQzdpnmy43EIcqGS9Z4GKewSMzm7MWDCzTwomV/Lma
2HfUY020yAj074z2p3jK00l7tm8PCLHW6uqUVXLqSsgh0H7cckfKsL9xRQPbteqTH0p4oO18rBdJ
NCQi2cezU7ysEqRQGJM8cZJGBR0+YTQaGlO8PDhzTRRgtz7JUSwoMPewhyA/mLdMupH0lBPk0CqE
B6ib2wXXErrmWQ5D6BaLNu2AgLd3ab2AghuxaDyx3CreEGHLp9qsq8jRzeyjxQhxWYqW1diiwROU
Na6BOUGtNwAxfp9M3DC+kR/sDB8S2mkU93Vm5JCti5juDMfyfbPm2abSeHcqcz5JnawRg0AjNgid
uTX0QoawbxtsUo7xAWx3LgM0+DEmPC/Nz23i5B8TKKmZU67wf8hak19MJxNJmLk+JnUYyqYRSVNV
0WDT5vsiv+H4Uqz2mTSPGR9AOKKyCwcnU6e57l4WhJ1x5JozU/WV3jssMoSP4Tq31Sax1lxEKFPc
y+hM2XtaWeWnbsa6v+ugMYAUqFRPOLe/9OfVpwGj2uGoAtmLe9JXg5xhcMghkDBwC3q1SV4Gb/KP
s181XxN2sAPtU7HogTOnDFeFCy8SHHryVhalJQOck8mehYYGQ0VUADW7CQoqUGakuovdVTKo484/
AeECr1lgfv8BLwQsrAD+sx9Tzd+5owsR3ZTOsjEbkCeBK7y82RR8rb8MljCvOGGsc+yM/XNSJfW7
1EVCozLgBjkNkq9iCGe1+d6W9vK195PaiGwgCTDCs675Zoxw8oPVgDe9I4ymezJc4V8ty4AsvTaT
f87yur+WScvQ2asgkob+7HWo+Kv5pbe0Eo1uqWufdG+2HSEL6N4sNy8/nNapAfexig5q05+e+6oS
ZSCHkrauG+iG99RqiRYoLalO2Ovoqwpz2mnohgOJq+TFBxHxyGZ+PQijuj23ebsHsqep0GqI5KC9
9vWolTZqh1g38w/Jw3X7ozGWG6srinavp33WbYBDeQeFCeBaaNxugWkVs/4q20V/c/jKLRA+6nXn
x6RaBt5Y81OD+rUDT7S6DHoglgyBW0/uV8QdAQBGiOLm+pUJx4YYnFCUk/heo5RMQx130IftzjeY
m2HNX2eVVVE7JtzXWj89z9PYnBNPxHswveaxKgvERDYC0ZCVV7Fpl7l/XXuXSG/G0NbG9CbY4/Mv
ZcLqoNwFhRcCbqq2RFTQH88edq4FGUu5rJsazEqoWAIEyFM6KrWuClbTjV9AZZZhNSAsiIgqcELN
GHuW2QMWfcALZcuW8uYQsdZUN8Jymsv65tGxSurHNv3EZZN8gaSYnPTcyOWmHYRZBJplTgB2aBm2
rSk6oL9tO34tRZZ0PCIDOxTsTTzaa2m312ZJy2UL+Jd1eLk2c2RoEH0H1k9Y6UZnvGvbfFkoX1HB
DmXfv/W6G7PpqX7kpcrGqOo4p1UBlybxc8yaWPNs4gT89os+mNkFsgs8Cj+Z1avFxvQscG5+NZSb
sfS3y3UzAoPs+cLGMLtL6EkUxIyvvsMvLvayHL7rbWo1Ie6t+shVYjPfy4r2h6XBdQs08EUrb940
XUDvyIHEBbnY6JqyrA+1fgT4iPmSvGl+T8fdjwybcBpk0mAnAIL/E5o8RdjE9A6AL7cMupt9V3bt
MXbS6r7kndKDtLHXlJxTkjl3DGb6ZA+vztxaKSahfbkCIQozKW6wmsIBr4VtkCIV0LvVw4Tv4DFO
i3fUh9qMjL7vx8BbZw4nv6ieKo3HrV/TdI6KqW2/pm4Px6PxPe9haDrzhUCVmIcOjvZZT2rzC57V
Fm9J5h29jPlqAPdEcwIP4NF9M3jVvcOE+Uu7uLdmilSsNnR7VYjt0hh5GfXsyxd3cNbQmi354htg
Y6K5do2feos09MRPmIjIUXZh4r1avK/D7OnUkYwtLzy3drmPLZMqGrG/88zZ1J1V6YOzxN6ypeMi
9jM2aWJmrVvXoNBS9B5kcxhbra3TMxQt93XJbmS1ei7v88zXw8KEp+ITmnBlaE1S6GoY14wTKTSI
O3kZpZ5/aXzRRMYyfm0YLjwPjbKuOfnK0cgwct/a7LhavdY+zaye48CEXhk1ohaHTM9cLUxSK34u
dele3Tp9rgE5X+N6Yby6kFzLdCzLr9g4YEMzNxpDCCk2HRuEomST6njigoG3LQkXN7u1pIU3374J
hWjeU6+KtxAy5I3MAFcCQMC0B37qHgZJ6aCKaf1eQDaNNBBnXQieL7kn36Y/IxpwN83kpN/SofsK
f2HdzSMWoZjwTujwZfoes7IDdzflj547VTuttdnhqKTattrkOSFzjltuAe7XZUxExZiwN7uLa5fl
tyJRaxF4hjnTwRS5UUBo1q1DIRsOl1541oEucnhuV9qaSusSGkudPLl+IfLNlRmE0hoIud5bYmdx
AIU1lPhnm6vlwdIKwdwaaBK+WJhfm1qf+ncC6KaLRwBYtuFESA6qjpM7CdPvSbfG5mqMPu6aQTIE
1qVynoSdLG1YWLmxm3ph7jJGj3fLipj+VNFAsdzUk+LiZG7x3ix+/HVc8vwRHrL/s2sL4JN8B/I6
JPYVo4jR5nAhjaXTmtCWY1UQd2BB6bcFHzHSOjy0XT+kVjBY9fJqrkBbGqy41xyY/BBYvdsSLNEb
At0fRTPDeJm8oCtJOsiHXq3dzXaXnCyZrRGzwzjeiQTFYkjC6jIdYIH29X5YMudVaTyRVZmqR6SK
7W6A9nM/mYnZhoPdDzFmVY4Hp3LlzimL4atc8voBMQXh5qYc0+PY6u0JiDDPKtar7Iwcajl3Tgug
XBPa+EABO7UBERvJG6Q6rMzFpIYZ9FwinvVsbl+FmTVXv89gbiFovfPgfauAa8uaI7vt+ES7LkWT
tZTuj9qCIBgM8F/vNAblR7+p9F23+rMKu2nAyItb+Pu6egP8y85a3gdI6EuIt0jbYAxVH2CkM/BR
ogeXx7Jhn43r9KDyAZj8r98SDwkcNWYSX30WwILBVwAlyX7l4RRWgN6+uXpw04OkhTyeF4/A01EQ
FrI/+2VC0w7ziC+gpbBbl6CDQ21pBkBM6BgDtEH+a2N03CBxg7UjxN1SppgJPfGC+qs9+0Z9M3zV
zqMqneZC81Kce7kUbziYbGQ+Ze99z5c12a25ZnfhjLLhDguWAshXDPM3L1305VjPQuGa9A2FsYmM
E3pmKZf9wFzre1xIVvqV7nBdaRPFpWxcZG5m5/l3VSvXvcHN9akZvfMpZdyR8ZvlK9PvVfe6yCEX
iowqJVJzZ9Z++kX5YMm0usjeVk1bH3W/jAVstNrnbkvUi5H7ySMRXcVdpcb1uqZi+BS/Lt8OJH7A
G19TQ8j4cUmW/mOuvf4CKLR57ibM8MjrHSIClPMO6qedN5PlJWJzE15h/nSWkag+aOLkKkyRPkm8
ogmsUz7nAsRgoFdWnu/HMVsPBDuAEu0JASNsYjTtNzJeME+O7YDbXif4Nmh1vfluae2wn+ouvdRj
Vz8AM2lfO9CzP/rW9vcA6gziO/RlDWeInQcfZe+wNaa5TsOyIoBa861VO+RVq+9Nlxlk3gnoX/aS
DN+Iz7QQwoKYO6cJGQ273MHeHOQEp5xpCdK9001g3We9zYmvyfyNgfbl0V6U4ncaSZSKRFOubZjF
9mqEuot2FYVWDyUgY2yiZmo5DItGfe0LbQVHIG7VjRiznQ3nfe/ZFYiyCa7fo+SbucceWH0AnSi/
3brsgVcQZREhM9We9LEbr2VhdK/53C7wJwU2xJYLP7RFvIaNwQgrn5VOiQGz/NTrS3OufUk8QyqS
GttdAW+6rIsu2ZtDKu/NuuRXyPOGlV1uZdnD6Jc/u4GtMY9LuZu6Irtq2NtlsBB4E3arbZ9kMhsw
ZxdNf87s2H+cTXgKlreaFuOe0clPWUt4RVDDTj/2KULWyFkti5ib3gHwO7R6qOwq1WhNk+x2Kael
ve+Gno+GMl4v/eWkILwdB26k9zR3Zies0riPg5lJXh9UhltYUQLQXd2Yi/N2nQYEzjkcfRV0mavo
2XJnM2tWgtNZZMhh4OQSoQenaZ7h/lJGlg2SlqTz0IHn6cHHdfQ5y7y+yC7nJNFk7D+0hqt/Ke1b
TwFQv4gyZlbwFD2ju7dGQ5xLZ4j3pq6qvSJ5AyTukrSYwMv5BXmxqe/KzAFN2ar429B5KQNRZy1u
vvPWPIiuW+WrO874usCi4Ur9NZ3532HWvxtmMfL/V3Os/1P9SFj3XLv3H5/9P0+yfv3J/xliuQ5B
V7ZvYynEFMGU6L83PM4fwGhug3zWPsgXbwGHf2kq/D9wiHj4RBDysdr9+wjL/AO2MDpC/jouiv/M
jfIbV431xk3txdrlNhLDUubcFBD/oGh1OD2UMWbDthvl1D8lo+c9r65WNZHN3uPeconZijQDSGil
z/WWiOBsU1AT/RuLBc/VTXb3j2sNfgzOHuQjiEwciu3f1j+6rZxUW3xzU9NivOTeMsL09eODgnzy
POapf54dJ1gBP5UxWGrq3b1X+NrGyGZ7z/+UbpkS1bs6T8pvHKU6IVBcDWxWUxofMGFXfSDmaDVZ
Xi1Af++SLMW+mbUs7C3wnQ9JD/Qxbc3q4CUk7GmttkL0luy+tC6fIjQby6ZiT0zg3Ti9IZJx4Xg6
dgW8fvFPDukOS+CbZC4iQsgXyAGzcehi5s81AU3hmFl3YC2B9jgZOI+1H8Q7saLFxRZF3CGPKEbs
HpRTs8N5Aj7jQyBH/2Hknf3s8yWA+CPUccinHhFGTpObJTmSAjnVH4Pr9QdclN09BmkEILXB8UiE
ITN/a7hKR8Rs8k3mD5k4FnWzh2VHj0yp9WWx/AL4iUWWMc5S581Apo6NWje/JJOvbWFf0IdUjNtX
JUymaVLb8n/RdzOykaiekm7fI5s5M6+aDsq7cRgXavZFomuz2vFETFwKjtiSNAzt7Xwk3jsc24pu
zp3sTTxYCxHozvBst3oT+Wktoptj5olQRBtpmRdv2Oh0G9Hp+r7pxcqv1l7XWyVROtp0kWWePY/T
rL1SZaptBgN1b0KFCrraTDdt3WShWDv1oy0zb+OUefVglZ5gX+Bo42Vqyu6YSmFFBkxvUkQvVtIC
VdFOHlPDrYTBs1W6e+8yblg4/qXBvgjke1lxmtvg4GlQ/V0uUFz3XEIwZ1kyOIkWVfGahz180d7p
r3BmHHggCBncsUe1V3bpXmC0j5qhI8spz4e3FMjJruoHZogQysOl0rQPd6Xy8VS13FFKKhLi+T6l
fK221i3pscGNf/sn54fssH9DiJavKxkxVaAZarkgIkRcwPDtQZ+FcR1LNd/rjbaGbaPmaFpJ3oX1
fI89hmSXclx3DUPdh6KwnV1RWOuDRTWCEFijxBE0sgpY5zVn7HkPnFFuhJnaG8YszoHITCu0EzAf
HZu7ULlDs6+npnkpKiH4NOlPKwygm4rrXwDc3BiTXz4T1QkcGk5rxN9Rh2PSOns1kzI+k3h1qO3B
21WVhB9VLX4d1PR1Yan5/qaTuhfOZKVFeB1SLnfIqblc9Hnn2rWOGgOxMvZ2W8FMINrgDsisE2ks
A1kFlUtJuV+I45K49DRidu6J0hOPagZdV/V3c7MymFO1ffEwVO+yguEp0zzjIr3k3ueQYUhm3etj
GRYJOWxSr8aTMkT6fam75Gcp5zH0C8iThr/GN1eAfr+6AsU/p/6efB7n2CnVXKrJGg5rpWy2165z
3/Njhy0RIY+S4Jx3s/FYkGaDvR+mcfzeWUX7yMnsEfhRd9/MFuGU4WZx6EunZMnJoIihHlkO+cGz
GFjw5b/FbIzjsrPXtsQTJjNoUH3Tjts4yaet3fteQ0GuT1VEHnh2GWFMR0mnZdtMAr1NKMNpT2KZ
oAjq3CEyW12QRD4qMaBZnRxwR/GLAIp6b5Ftuoam7deMAZOCz9kH0kmkmuGND5SINBmm3ncvfdus
YW7E8t4ZuvLI5acusSCYiTNt2fXLWB2npUy+4n1R6Hhkx3OdKNrbWfj5lpEwWBdWL7M4J01uH10A
rdZGNP7nQhyqPDRV1W4mhspHj9y0Nyv1sdllNfmB6gZDqyDRY4FwyZ/zydX7mdb0z5t47Yaf0C4Q
z6h1eCvJ2t03Tn1fJdorNW/PXAHxq8+Qmhl0CmSkQdxFA+r4w21fbH2Fr+/4iNNl/WaVwMd9ooJp
/Cf3EE8sYpeyrA4JDCwgGr9ScSHPFlcSTJWxK+PJmg9Otij/3JSkAX6SFYce38hK6wnXkUBN3WjN
e8+j8B7HZvVSF4l2IQgXH1Rcc0FvjI5XK/11+tJkVqdxScXWi1TqLS997cQ4eY5PugVbxiGqyMFq
ARv7z4Bd5/b9B5cuHv9M2c2qCph6ujg/jcW0H7kKe+8wMc/MHoa+Z0bqGunT2LWUBMY4O5EwWtO+
Y1rW/pQl+UybhDXuKzwa8Z0on+UwAEoGXqacE0g479MvXewWsalnew0lwznOrDnBmzK1TwzYnEs1
867meeHulNFaDDS01nnMYweRh+W0jxan9RPyj3aPOopNeS8BlJKf4TkBqSvzRayx2Ft2Kmn7qV0m
K2alpCb3pU/0wrvvjRiQi8ofNV95J2L7IDwRDLvRc2aRIXO7Vn+t/S79OtnZyAqsSdceTaEcxAaM
jP3NITGius8YfdWbIa3ohJHD6ZvC0LqeebdvPLApQHBqaPIhmezprega44vQJvEErg9XLz3T1hRz
fR8XbJwqlu8HqhokCvBwup5aa8rQWXQKREM6kTprDid8UYDkfU97sPGA7YwWE2k1rTUpAjP+M6Vp
tzCXWH3pZqNCwJaxTMLLks93Sw4HYLOSCSSC9cZ5RjzKRiczJnQVUh7ivka7BhsoqrsleZUQBC6u
YD2vJYkRVqUlQiBaJgIL7s+SVCmNxQtUfXgi40AQZtf6PSpF4qGoxbzdPBNyyqGaMzML8xjmx6mJ
K40BYzGN5t4FJDcd+zpLjpQzyOBMQheeKRucZ1JPWVJ4Dff7zs9c45q3xUrAKvKGnAUeI+hOdI/8
qa2dLemug1xFrLLNMrHQ3dMk+2WT1Isso6rv+rcmdtYgzuyFJDFz2EL8klxHgiDS1taCmp5uF9er
vFfrYm8Hi++oRX92dsi2RVaKwpLpWmN9Jvph7qo3Rx/f8biCdsuPpvvWqQn1OZxxYicIg/2gvqy3
g2GzWKjmRb1qjAKvaBCzjcjjAgqc5Xh3t+iBdbdAqM+iPvd3Hhy3SOZ+saOJx+jHaIPunMxr9Paq
vSNNNEGAMhqBMdI+zrFuLNd+1s36WNerTQROqa6JnWhdoESRndLcz5/VGCcBDBx9Z6u+OGQkKl9V
kghCBJp6+VRmSQqIrKfs1RtAvVSaTZSUn/WuCDOk42ghCb3BIFZ6JrGmVa9nMaMdJLV/ZlXDKE8Z
EzYTIbxxKff2PKEYAnKzBZ2GkpaolbtscluGY+QzzEzbzaOSSouyCS3x3o/jtthnXladkbONDdm2
9p5fGZ6eMrS9Esr4wDAqrtZk9tTV/aI/cdokNl/cEWxVgnE4giYFkClWR5Qp5y6H8gcvDrERMxQZ
V/I82YhBzbHQ3tcpHvqdcgaNZUL23grNJwrvtu1bVrP4HBlc3uecitz+Q0nkNDhxttVLvKD10auL
W6RUb5rSXxpyA69ccO2JwbB18n2NbASL8Gz29Hwn5jr+CQ6u2DAcce9xLZkU0C4MwXoikXVOG+1F
c1bOkGWO4zn8NZqEpdhv3MJuH9fJQVk0D6a469gFAwJbEaWw4n5YOMV3pmQ/Uw4kBZdGhVO06D87
Rp0A2vQWyY/RcHPKmKJzZZ1qTHdxR1GQTuIk+IQ22ZK7G+XoNWnwrrVxuGiCommZaKexe7kJlV+M
sbtDgz1gViTIvKjNHtE0zc25s2V+IjjV5SAxi3FPrhyFm0zMg27ZywOxHWwYi+pU1MUXxywRhnv3
g/LQARtJDikv17dpUk1QsjxuJpZVtftLqzys9xjtyu9w5sb7muorgE0vzwl8uz2U6enoGh/5xNhr
GKwtMlqo1vOyF4xX6KXWKWIuWG4NLiSSXuWCIJvY3T3xa0sIUBA182FO7WOyOAR9ylO+ps5FutI4
VR5ReCxVpjxcG7uJCkMRSTqXP7ypJaC8V9Nzw8OE0UXWoeMtTcjsLY0AL+cPkmn4Ie6kdfKG0Xqw
jNI7Kr1RG5TOBCJrHiHzPO2ncbklNou6MyhBK9iGY4GwCzbbRpu7IqrteR8T07cjj/DosWsjxC8y
vGSnuzfI2BJO2Bciqo70SK4MEDszm08dmKNocbibgrWux4PhlsY2g80WSMsmgqDMOwuc5Ly30nbf
IvA9rJbyQjxu7ImdrDjEK+K0mMHhixE3NUujciGOsU800Gqt/6bbjbUjetR47ZhJhn4ri2MzryMr
UkOC0bIJtp58tV9VZn4jfEa8Ou7aPFIBZ4chTtVLXsX1QVQNwE812o/52uaclTYRjFbVJefblv2S
lO260SnavhuGQQttNMzJrKH+IZLWZpU7nGfAnX0Z29Gixx/6zN33S3WS2yHag2eSDcjTWJQTsK/p
99pSuIfZHP3L5Ez+E5G4DNNJggZCSQGr3EpsekGkvO02rBUrYpHTOnJ0tjvCoovUy0dEOTl1QtW9
M/q0opIw59CixT+wutkTiqMd0XmUG9ioA+nsQ390/fzRJtPH9iqH5X13V5sM/yHjktG6Cm9rDs7X
PJnuq0k39uS2P5HUtpVaiUy128e5cbuWHAkmHAE3peFrJ/23smRTotL3jsEGlNa8jSTShscbCnPv
D1i4uGaqs5VPJt/jrj74Xn7y7KQkwNlaT06XsNewWSHfoLgWyxeAlEmxj/UqPUxDIXdCjU+6AE7u
LRXkBQLuopXUHky2lOEH3aa5glGVf2fPUpNz4xInk06VE2UjZyRp6PukzkRkD4W+k0zxt3Xuxghp
MZ2TW9fvfbiMcVC1mXtOpRnfDKWIXjx16Iq82KXuwRiTkwGYdhUElTZGan9pGnc465YrviAVIaq5
U4OPXn7hYszLsnSCPF68MfQyoLxrnzYv2uQXkSdoUVYHGHq5+s2J7Cn11LjlNbf1IMO1HHqE+pDT
cRzK9rNiuXUp8wWNhfR0cnc8+6hDYWthk28ZMTUHJqtx2IoZQ0PeLZfVJEnRcU39u+D3Ix12zFEx
ES7xNmpee1CZ513hl9lbXCAGIRUoWmXRbFSLjdFRQziKGAiBUb8JR9MfYUkAVTFnf3lAkOySCag5
3XZgKL2bUkSLE968g074DClFGAomjaj4oOnsc0nEROQ0zsSeLPbOSjAdTvWAwLBPCz4WS3T36PtP
s56DOxXXJS0O5ZB+oIb8XPBACKB5NYW42c5FYDsSbbTR1VuuTS2c7GKOMlPTMe+V092YKyLIXS3d
c3NBdrT3htuTIKCiSffygD5873k1D5RbbrhtP53JvAM1AErOZVerGSfbY+ZNrbVtlfo6mpNk6SRE
fmi5Dp46FiL4IZKvozAJvay1F5H69j3uq+Fds0Wz598HVU7Z4tJAHERLN0aJoj3NvrjUogXON+uh
WzfOuTU7NK62+cYBLgNHb+0XIUoj0hJnibzFeCnRpkeZ43XwpZMtNXTYNXlIns7nqCMwUVzNge+y
Wfwv9s5sR3Jku7I/JBZIo3F6lM+zR4TH/EJEZmSQNM6zkV+v5aruK7XQAwT0iwDhAvVwqzIy0wfj
sX32Xjvt/YY9ofuTemLvxsk+J3kSj/lzTSc1K8VxmeD9XNQ8wDd5WIECtrdZMb2DW5R8e4x0nYz3
HW5GIdqNS3a7yWRyVuGQbAOre7hvLdY2pWcPcWu/KEpelh77NlB6JvOihWJEbK5nJZtsIC1SNZ6I
DCnPkhet3XblZzjM0kaFK6dw16I11y6Yw2bpWMNBpqBJzWM1Jglfx+JGn+mix34cBm2wSzDguiw5
m1Xb98GqL638OapL/R4U3YEyu3SRceFY5JXeuXWmt12ViALD1lTuEzrTNkbqWnvDisUuba3hoZ6H
6DNKrWbJN/SLK/+zDSd3fBDVgsKybw+d65lSnhKf8hDuY5Qh6MrDCXgrF2qqczem9vydZJXK3aTH
go/c0uNafLUtNe9SNeEMTwyf/XZFXgDAK32zFfsi4aGYcW0IcRvM7m2OxwQz1QwPdJYaLVO49R6T
FEQtAy5LEeiTwb4aY4XSvFFmtK0gZa494U0BMSybFaSj5YXP2Vr002lyw/ZEweQM2dtE9drPSvhr
fi0uH5xje8FNcV3a5rTi9/R+V3PY7miVvQWhuuWijLfYUaptE1Tpq8EiclU7zUNP/9tCJWayTqkJ
pdvQAODMc545eTAQXyVdNVn1BIFhgE85rKfZw4JnGnWxnytCXfU4fjgltIaJU3zvJpE8Z7jHqGWK
DSRi8Kv1AvmGaXnUtk/0l3ZGvKFu5a1wQ5LYvzv4MNmhUNXOt4fURfnaJB4KOMqPqo1qiwgGenhg
ejTtsbNKhYje0tlJT61fFofCptVm3SYKL7YRtlgLwkmrLavv9LNR9Ph1qe1sSiZNBqq0X+WSJ3Iy
m+TJGq/CotF0E0XshKXhVA/udKRv2HiloX2mGZarx7o1LOsZVJpFT5mfpqTgWLWedMtI5oWVtRtG
y6TJkv0VzYg5SGc9ud6F8GhC81db7/gl7HVF0p24y4vXJMgciJhu/dPGFaNjKNsTIWMkHMOGIFs4
0dVwS3tbx43a0j/MAGS5tQWwtufJO1S5czKHbtUw/NnYdZuFQqU4BY0jbmDyogOOG/HMwV9coVHE
2yGqu4I6J0wPQuWgFLWZCwc+BIX2XP4rHn3evJywAyCz1bihluUk4i/f5bxY0JiXvgjLP/cBEXBv
Ggs8P6W7tLT8ExLQ/UUop4xXrPfD7zBL8mfGkA8Y3LQQps2j6NtnEaTww++CFy6EXTfTk5gyOx+1
Nvm4Oghf2B4HWP9z8VXhU9r5lVRLyk7M9VBSYxkhD65wY8wPZj/oJXuEDout5yObpaLjqyUR6Fy2
9nlJa00Ct8VPbdrYa+1tMUa8DFPMklc0b4lFjQ2N1fTbAwi4zF2UUBbZ1p8y8o2YoJo3bkH5S8KW
0o4xrEJDj8JniLPBHooa405PrtHvj5pGUg48rQ6T8H4Sxv+FrXJCFUhQnASaMOvQ+8Ez7FEeJu2c
6lXfWcXJncOH3psf3MgNHmPso0trIMhTduJ3Eft8GB2QxdgFQxaxs31s1WR83YuE12EZfAad5e/c
ii0tU5KkDTtjCMNuZbAiyhQeAGHteOpyNRaHhKnpRQGhvgiLjx8V79Gh176x42JH5VWTPXaJa2B3
tMyNV3cni0G99btha8+okmuIIu0+bQvjMkz63ossn+PK5bdLc9YrDUVWseEOJPEVEn7DXx6jJNCm
K/4p88Tid17crRwHy4d7aaVpgDLEWrsr9JMlgBmETeEtvHEkXR8GN2qF5BHq540UPqxcZ9w0gxes
qSt9xnVxmSjphQQFBYY9eWIt5hTe3NLBrYFXp+k2ggmHsxBpVK47PAvRYoSmfAxKu8P4bDaSD/MI
Mc1yOZCtoKlepsBwv0vHQ7XEHkwuuIGAHDgtdAaOocmvQL5Pc1ptKHVU5w4v8gMOufkwda5/9gOC
LGmlXpzIfXRbFWx6GXy5yjpmdCz6qN1b6YBtaib7EdpAekwo1G5qiME5fupevTtDidBKMTIpIg9m
xGPYDvFqZsFyaxwbjyhekyfbLJtjjdNxNURu/OoI5e5wODPS6LYk9OFTZI2Br44rufboyN3mXUAN
xqNm13SOxlgd7o6fr1yHSbjMvIqxGyqltegdvgEEqE7kT9iL1TI3137VHaJBAje3mr3lcp4uJP7J
rT+xEuwTpoWF8iYeJzk+9aVJdhzJ0S220LQD3kY/F68mJI/7AESdna+z4peF1sD3pxfliR+qDnRn
v3Q+ElVmiE3J+XbGua+8pTFo4/ecMpjxPBwfk3Ee9lFVpKCZm858d5KGwGmY23QLWs4r0ZphqdHY
41Xax+2Vc6HFm9zL7NPVwfAbcyX3OkSDYGAplKbOfGzvSWjUW9m/OgAHr4NBRnUxpbwJ7JjG+BLS
lzkt5i5hzMwqO3jOLLfdx7qcOa4ac/gYgaq89LEVF9vMQ6cqInAVKJkSXBGrt+waOb5BD1emIabj
CwP94fl3+ytsgeSlz8ZmzzqKMa7oRbLhRi13Xp8nM1Gziiivh2uPHvpxeFde8TvOqRPupu4313KD
0oekVFD2xO+MgY+F24xgtTAUkkjbm/5xwIHCSVHyv1VfFe15csuYkdJ03guV8l3iX5vt2bDd9peN
TQQUuwjLTdUPzrdiIN/Mg3Rhf0fumS2rvuAJgkkzsBNuSP1tqiRzHntXcqLFXsQHpSY/QLTNtXeG
ETbsn2jcVjAL70oX9P/WHv7w6vSbotOUlloq2dEQ8eRqyRoyCy0ceZJeABWq7IwLVt9Q1uINnqXl
POPrWwLnz7sFNdv0gUz0akcrz4UK51mh86ss625Yy8ysD62R5S+Q6a2VQJXdeTqzr9lopO3SC33C
wiNxFLsmXT9InER0SfPg08mGjeK2HvkAR7P/VcTESnz6qB/44Nfr2Qj6PUEOcTWH+CtoUfQImmHK
7sfhQ1a0GrYyqtepnB+oWMeJVOUBpY705gFGn5ZulxMHnN6rZJW2JlEFUV7YCGI862vrJarq1TCl
zTZI/PmVSmRzpaMSlJzqx5XWFo65rDnYxd3q5s0NPnYzJl9nhE99RXOt17ufOuyIY6rCr0GmD81Z
+YhfGgnsSaYhVSSKRCTBbPgQMRUCj2MxJptOG/qD0OOfbEZ0SMl/XGnMyF+LhGdHmfrwu4IgeewB
028HxyU209ASg/ONB8O8VHMYgCYLYbQNqVLPcW92T55g4bPGzBcRmqMw4+gEEyNBBOZsFdk8k53U
W4azrW96Sq1d4vTDVuqACxo9iWwQ91Sxsjq18dTen9QeFw8aSXBqVhgCgMLBA9TQPheULEyoKQP2
/dmwVuRSBvBv1TM3M6YU0Axbv6zsswLEsMmnLCF8Lj7Zv4VHBhF1ypgml3nNhQaXvHt0Ko7aQals
PbH7O2cqdt48Y17nkTluVGJPWKo6b5dWVXOsZivZQJMwn+JRDFuWDMicXTXirWRqwTJajOEtHjSt
Qnwt+aksBb26kHQCBNYDrypdsy4GzLMVAsZju1ZobOpwc5dx5c8EGLX3M02EFLZsX7gDsnXTh7EJ
kqVPWIAqz6p4jmbZX20cuUY0rwrUvHOtO3dP1zUcPdN1ymNURIhxtenM/AfN0EOqs9JlMJc/VJlY
xWJ0Wal4pd1/Z1gHNp2RhTs7yvj9yrYSW4tB4ShNvcvyqftKB2w862AwRm8RYSt75f39nEStthgv
6dJt2Ksvotzi2qbDlavad1OqeBvLhJ4F2tWdZiGR6RB32N+ZKymxwi5mu3fXY+qyUmys4TjNeND8
uug/OjyzD2ri+VjVnsLgysWgscujB9KOhJDr8LBhZ878X09x8tRRS4pcrOiTtyNO6K40H9g1bJKR
zy+5mxcSpun3bOTJM4UV3jcbuODk9NYh6ZUN66wJBWoRwauCs9DKlo0GkmCwkL2WVg34uygsPhWW
sTJTu/ocA6pmFjSrpxDkEhcpmJnhNxooNw9R29eI/PkaY5ACmVjkVxb/el/GRVAtWi3NY5TTcqpV
x4LJcGr6xYyPsNHNZ0B3tbt0y8HEMUkBG/d4R/0OESu5JsjR3dqjpXZ4dgLeoL5+Qxj6SOL516iD
jMe427zYUEb3CdbydMHjNHm3uH++dZPJWqc3TTI/DXM6d42W2xQwsdTnzrKKgmRYp6kuHv0pn5dh
4bvXLs89wk7ZuKOPfphhOPg4PNuolJuCtoM5GhcqHLmJdsZyol3wXy84KbLEZvaaRzZe1qJJyntS
N2r1zjcg8c+x4WN71+KxlOZwwrlpH7p7QhuTh7GcUfpXDO36IXMiiWWyi97jrrBfcISneB1wrbDt
MTFzGHLYtv1dHzfSxrqACLzDfJvcZ+FFd/jYpKsyce7dQBFPgqSYENqHJM0X1ghxG+vnyeyzYtkV
ApNPMbuiwpZPxRWJqWJN5cOPspJu1ZUhLRqtws7QpNm8Frb17KHtL0nqUErOabpmv5ufjEw8OEMx
b1q3JALuzN6FbmWQTInWv0ho1JiR/dF/lCy/AaY4c3AxEyt/Ykkb3IQh9QMLbPcXDuHiaEwue7XC
HA6q8TDXRlFGTW4Z+zd5T3tPdveO3d+GO9c385k4XrrBSdNseZTid6Gl/NqL/IlMaHrSzFw7RbHz
So7+a5038apVdcIo6Wv1UuPXeRgHTeTD7KV61fXMjsDwZ8xNyVAB2Z3PDR+IZZGGw70L2Nu3cbqN
8zE+OHmCHBn6/oHA2aUKiZ9gmvV3RTkVe7SMYQlcMOcboceDVWGcmVWDvtl4HnlLn9QXLSW4Pmzb
fjNc+8lvwpdAV+ND3NBx4oXc4tIGsFk+OvEq1+oxZk+Y4IbaSd/j+xNgWp1UhfIKRvKSlgMpjCbd
24yzj/S8oRtwiToFUz6lGL1d+1x5QblD9/vtt9WzNKdjFLEw8g3nUNQ5SxsTlvROhdp8j+nEphgn
D7Y47fMXq/c4uDp20vtCFQerdHtCgjRHxNLRq8QS9WuW8kL5lDouuCbTE9ywqDZZPrT3Ix0ST02o
bhPVkdoJI8HWQbDkDjGpsNp3CAC6nwRYgoi9bEyZxiPH9ECKXwIw5slRbthJmsdeDH+qxkLraSOq
FRNc1ouMVeSFc8uhEsWeDvgJJNvpSD/fw5IXMizjLuj9+QmLZbaekxBJKrCKp5rh4mnsJrGO4rz6
mLKBGHrc6+Goc7NdxoHl/7hwLV6HNtULQjs8630V1inffGpyWC8Fb0WSTSvgD6gGcWnAMxIpYAon
3itY2nsgDGB6Eje52AU8VhzjGRHO0e4e0Abi39nIPpmoTSEJ7qUauwMA/clt5Ts9MJrzbG5RDbVz
7OcJ+OCU6gzfVsI+gS6K33UYyAODSvQbkZAZQt2lKLtWjwmX8JyLQO8c/O79LgW9mSGurEVQmt3H
HLriFXUj+cCfNl/RNux1FITGem4C9Sc2pPU0aZfNQVhmz6EK4zVrAa73hTEt7KDybnf41jbuayKg
vhs/DZQzRUQi+uzQETT6KS17uBU8XlnMTOG1DmrHwTtBf0zeKbk2VBge+ty2N3XLs4bLc2E+ZNk0
fiCzuGdWVtnaL/0+5SMv2ysbA3kjb2zsjHJKb2lp/FJt42/chudnn4WHONIt6xynuUa1tr6cYkBW
TPnOkPDtABF7CRigiiarrp7Fvk3pt0eeGZ6oZ2cAFCMoi6zwqs3cIGRUKhiXlAxaP0IBvMChQ9K6
Mnoataawjx9choMNy7jwkJd8D8emzvnYctXn6oxawDZKPI1lGz6pICjXEUaA5yJMbjxdmXkc7tI8
fm1Sd57HLi1Oj22a6RcXPtluupcjkj/q2Fkz1q6YkdO3QFUTYrQRxu+D9NDcgkyNyA7o29QpsBci
epZuPJhqGM7vJR5V4m79mO1d2+X2ktQ7ezxFapDtznRDDet2DolQ3H137b0y+/YHcw3g2TJybnNt
zXu4lsBexQT1SSSAIlIq3gZW9Eu+qpRZSVpcp6EFYsRelWQltryEjyUb7FxfaKt9zGerwxkHDqwP
Qn+Dm4yZM0pIu7C6ubUDtSLR0Do7Ezs6tyrfGh0ulZP/MxuAxyayLy9pzGtASMneJBlO9nIYw0uj
etzvYUtkxeLPH0GbRMv3pM9Lbv3hwDHOQzi13ZoOMJ/6wSzjDPonvGJKEeiZ6AwbHWuZ+eUfpy7D
tXbC7CPrJlBWCZbhFwhp4c7BffUwFKH6xJU/XBybpQs6LWbYdCBVEUtV/M1o+f9tl/8vxBW0AwFf
4f8MdFgk8Vfz70kOf/+C/+F/9/+yTWJGJiu2fzXAg03+2//u22CM+L9dHO1/k4z+4X8X3l+OMFnv
3FtUXWgq/+aAF5JGBhdsim1ysHuAHv4zEAff/Y/Oc2FCl2AtLaH80dzq8Df99x74eiDYiEvV3lah
JZ9VJOcV2YvioJFkV6yY+u1Q5x9xmmsEN98n4prnJ5YKPV8c/iG3BYbBc1zK9A36aYLLcnbPVlB4
4Z7q8DsgRzQxj4PGdYnyjcysY5G5pzBl+7pIiefv02BytxFLN+BGbvkzl173Fs+I5wtS990VcJx+
4PmdLYLWNJayLtMNmzxx0M0gnvp2rI+yLcrDZLWMDqyG9tHAkL6yhHEfPojRHKuuVUeVkX8DBSiL
Z7pKZ3NPw4txJGjKAeZINXApc2llJScbvlBrVm9zx3COblAOn3SCc51Vhg/0rPam5DUkWfsSOtOI
3GdH/Gy7ZKuHT4klLpVs4ju496LglMzLQ9PqaIO/P73M8GvkQrV9cjJzBVS4KQOmrNKjogoZpXmE
AZUGyOLJ9BhQP7Ohha84F76kHM5E4krBU0ByuUb0tP6gqRlPIf55yhiTcPyqLCfn6DK4rmBwmepL
rO+m/Nr082oDwZg7RxRj9mjnadq7PMYRn1jpseBm/sGQYiMEeeXJdlpnryyLy2YuTXuTc83cid5B
ptX2T9zdHa9uzDoEf7NsdspIGaDLwOwxKHcm727cB+IOkePa2PLg5JJfeOupM6tN61k8ZkvT2wy2
3XxPXZYkvBoUL/b4PX6DvRs/rG5wD1wDoiN9keUjRhXxMmK0OIMWVA7nM1mwjVOZCog4e0KWm5K7
x9JTrnNgwp52CFcBT/+iWpNtYJXglDI/0NPrnWShxoPTdXTHOpV3tJUxri0XwyMKd/acEx6+SVPG
464ULNKS2cDBRVrdFOxoUS2oXImvFeZIsoup352dxrdPTs3C1bQMMeEexr3St7MAwjHykvqNixxl
GQGTS9SPsOqCQZ9CYia5OYefQVOASUyl/PAYnI90IpKVF43gZSqtAKAtL9TC8QrMutVAqemyaP0K
p3egeKAThaO9zwrhBC38drb3LR5G5hi3FetkGpono2Rd6U9qbY6JsXKq+rPCdEukpMxXKGfGay0b
jcJTHkzdGxuvD8uVM8lrBwFEE+XZ5AGCbdjItzBO1nkv2k1Zeg0JFC8+SdMfkRLq3zhC60vuNre6
qX6CBPQfyMN1FvQd7CE6OmY5XnMs8h4enKWlAGnZwmUjQwjsGpJ5Dpaux216MwqRAnHA84QtUZPb
LluC1SZZd1qLGfcI1S5H00bElTkJ92Du8hOSl7vmazi8EAIrzgbpY7QFu9xmsuv7R8jMIehMO2v8
xWzeUVWRof3PHnMEd3+/Ixmnuyj+jcxumitOEwyBpTl3wYFwfxxv7Z4Xh8VKZmgKqEf+kPwi/Bil
HZEM1vbYG1jxuiZm9vHS78QuoHxZytjcEy58LDq9hXgut+YgTeqLa2tvNezUhhHvYh5hIl9Ecxi+
eLy0yx5b2WKsHAof8aE0K3w2yBTQXRANVNdvJsoRz1yczZuv6J7wrRo7hEia4ZgLgTfJC9OHUPjh
xlRl8lOxygeEnzrolXNnTpuRAXtN+GYEFgEMZFHYQ/9RoZ3uaqp2cJnNabKbwoSCvDKN8Pa1njg3
MIoXNkjKHY4pYCOicfg4TGy0Q6DNeVV260wWw80kOvlu0Dpy8HKq6FZCsfBoe0rweP3bB6VY0S1t
xuhfEXI9M3ewmyPnyCg7nTozzd4bEbVc1mCwEO+99dWQErrx06cpqbHOt+Z8FUaab33AJg91caqS
bk9f5USeiWQTOavhhVajYdNimIeco716z6bGuJhtYVZHm0/TlcaQ7MTOGkxr2gfWQY7ZRxgE3Ydn
pOlrnfTlmZc5fczTWX52WBRSzDSmZouNDeAaxezY42GC3yGiucU8hE96xF66bDG94Pyai3k1hn2y
lkF/zKZZwkEYoEiA/Dk2xuCTjKdS8TaPabbJ5ny+hXMH8QZ/afrm4+9fT5XurqSo7YOX5TNCdTZX
y9ZV6rtOYwxxQ8+blBtOcstkxKfs/nt7SWI/dEUiNuSApp2wKve3NcbT1g0jjj52MNPSLrKiX3BD
v4fOueecPISd+94922K82qJv1huL4NOG3db4FAetA/PaiODJ+H66D2aQtdBOqyVM7uzNKPoZCo4v
TjOknXRh4YI9VBL1ZFnEtrWPTPsbPyslQNaY/nJiv07XM8aCF6KtWcRtNzCLVVA33klTsHIWfjuB
8eBsxe/1ZbdYuvC5qgu+/uhqc91ltzqHADLyMUg/R85T0LmxaRvrKSrKR0Zki665OqHgRjC8UUOa
9wezbVxyF4DktbK+mx4f8Zagq4FExE7AC9roj9d30aZwkZzoGkHInFqJl0GOgWbGtsUrisz4zM1j
/ArJGHPoikF5Cz8lW73wlFO9eJPK/mQ2RZ89mKJVHid0Oeed9RErIdxdo9AFu5pebs0hqiNyOn7J
5nNGgXsPwgggabvjq+Ufawx061zgNBqMaFfU1s2ceZ8nVY6HqQ4vLGbrhakw/fn9OKNNVJO4UT2T
Grs+SJyjLpR7G1BuFkbbg2Mogo7onmLoQBZsfwGNuGBo5Y2aRLMXleFs7wA/AVPQUKssUdmqAOT6
GIV8pvsJtiS7pmBT8Ux5oeM621g48kC2WM1D5kn9klazcYfbOIs0K1wEiYxFY+kYz7ji1lpOwAog
cj6OrZNfGkxbxKMT9WZNk9gPTd6vm6GovotGpZgw2oJWboK+2iuCd9fOp2toueX30Aq9QdcZiW67
7nSjJ7neEc5kMBHtTkZmfIrLngANWNzPoGjno0at+fHYCSyr0LlWokmOOVb8QwEj+NdU0ObKUs8X
4VIPLfv7aTCSY5bTi8gkmeqfMDTH08wWAJRBbrgXzCocJCgvv/KhEXjXWrBhoQH3Px+TB3dijrKI
Mm/oI8JqoLzqTGKQO2ACYdIKJe3Nrf7O3ZmQYlVfet/uMINVIP0tg3GgAwWFVxYuV4cfhWbkE0Nn
slJBIa/ZIDA2VhzrADAke+YUz2xCoVf8i+7j78oKrljE2k1ediUlaVHiPZVVhY+rrkxrE9fGkTMx
h0PINuM5rzlXF+WkC2hJY68YI4J6PnpuN25I7BlPvkm5zcdYzb53GMKWEJlbBbz3ZSZ/GLLKfsve
2XrlIVVv9cjKyHPGqD7Mec3s1/hp8I2ZAS7RTO76s5UDXqLM8VYSIv/ZbI1zainniWFyOqgA6ck2
W2w5TRIwzd3tXT51uNOyjCwi6CMr7mdgJ9Eub7kfF/eC1rFTR9up3AsnAmjoOspPbiSGZpGTfXvH
S2ifRA5gesmcOV+azkcDrMyaejEm6xtU5+bE95VCSMvopk1TT8NjSi/MiEWEfT1sFPSTyoVPtw6Z
cFdoMta9O6vIbjNpSJycZMM+2DnnJ/jneA2weDoXu2RCSdMauYlhFXJcHLnlA3YTx122eQuUANRI
QuKrbqJ5Hc1AbTB7VvGbCU/p2FRVx9bUlMYh8hgxyC/uyzTLLwP81WzVtflZDK736EemtBnAoEQu
Fcahb39KrF9R1fvkIVLvg71zv/f9gJUKW1EcsXkUQ7gJC5opMavT+kcbr6YMvWR7Rtxr9J/bqYk7
MvvNtNbUrVKmVfobWTtbUvrZiqUzQrqBJricVNhsObW+EDzoZxB9iTlcxtvMx46vk24bi+hB1M5P
bQ3RLixKY6/pflqmaNZmFd8DSRc4OsFicKt8lRHsvJljA+2GtQSFGhnYHmqs7gSZrXG/YqAU73gh
5uVYwrhlNuRPgtm/+DExmq2SyNgJF2IPbwQ4dJdHTkLeeRWU8VvQjNj24ui5o/0HZlP0YjB2QJsY
sIqo7srt/F425J9t0dYrsGk7O8EjxmXkF0XVp9RRqyJx/OUcJDwbzOizKwVwPa5mTtuIVdd7dASN
9QRRJ+72XgrhKh8hNNB7Pa/CJIdyh+a0TNEGV8lAksyFgbQcs2aTZ2JlZvqLinQsi/GuY4W6KmVx
nVGZH0Yb8JcbmzP521lugaYE6PbUe43j1FBVHwj7oIo2egorOqBliPAb1QO9NMDWWYMld2WsIj88
E+9kKDWmYasthyBFCCZx6Wcgy9CHe6imXtY1Jxd3SUKigtfXb8iapdogHmrLYScNoGW9Jfr3VhWs
XOI448KiOtxpGp4QQEExDI8ZHNV47UZV8JrJXH+xoQyPrTuPzq4BasVA47xHY0UwrzMc6rqsmQsO
vnIreXKrSOPhsO15B+NDL3hwAIMr2uzWmVF1h35J19waKdxXKJUdM6jfNveYQPUmZXez6aTfmp1P
kVXqHDlgaBJPKn+ns/qLBK+9QHF3151WwMLaAOu1OfwRUx8LplPTv0S97e+4YxWQPswq+5h8yEuo
f2DFyyYcPvlmJUs6xRMaV/J4m0PE2OqJR7VD/m0v4iDCXCr0rvNRCRY+YKh1IprqaEWc+ZxC5vga
AcH5KLMg2cIQ6wsouq334jO4SPYCObDdkCjV/r8xFEWXdNP/C0OB8H6HQfzfFLh/bvri63f8lf1v
aRT/+AF/K3KB9xf9WDTm+rZwLAr/4Jr+rcgF1l+IYJSuOP/gTvxPqmrwl3QCl/9awBuAbvBvVFXh
Ug1iUvPBj/Ncmy34f0aQIzf+v6IgkMrhQDgum3FB9Yb3Hyseed5VUyJicgZgYhT3oja9eq3Tdys7
7O8Lad1napdnRdUvvOp+usMz6+tV6ZFdMnyp1i6uujvp2kGIM1MNNkgn/LPFoP3B2i7AJAUzslmD
lYwOZA9JDTqNMNcNl+zoUjos/3YGtoUPoodxsSqthK7PubCAE0GDbv214G/wCqlYbqzOG/mO4AE2
pxHjKfLar2qG/bWmlI2IjlEWHaOmiHzk+jEY4TpzKuHMb1g3C+74YldrGpeafB5s7kxYWx8w+Q/h
QqJY5MvJIaVTsAp47Ij6h1AQB8g6oMs4HGujbgGB0TD0EydmOa/rCDcelgNDPhVxKLM7bzJ6x7Yv
ei414fSbCEP3UBE+W7U6L+5BjGrEt97I4StWrd7DCKFWL6/c5AO9rOWck37OA8o0H/XoNiAMhLu3
LG4PNnEGwH2qEFyTAco+d66Y3tk9+x3bZsENXJhlshO+R3YdEEPqLuQEB3tdEUY8i9waz6OmBQQQ
kbetZ5nMFwI5vXUTTWmzVZdTHW1kUNnB29AV9X6ifNlCWjG5cM0gAurtpC2cgQtyu02yr9vWMa/+
/XVJccnYVDCqDHrJc4tihk/i3pQRulX1LloUmnYa7i9WvO+7+L4i57rCj5FHuPRQIFKfidzSGvEs
9+LBukaeD5jM8LpxicemXoGf5hrZ02aNvfVHQaBaFync2hE72b40uPAbVUiwuLYE5XotDaVTOF8C
D+0htxM2I7PsNklqTXiFHPKEHJmjXNlB792GQO/HyrDuXPkwOCAs5GupwlurfFoosuFNkKxapm5x
wrsNUjJwvq083xdDsx91BG8vM/MtzwSx5H6UrO25K86RsIuDy8fmKcccu3f1nVJig6cipudvc4lq
GpTVoXfrE4wPSTiO8pg5ZFS0cMth4bEWxQCVGPyBx7sq429J+HSLjpy/JegFl8FOnV0/YH6NgpJ2
igC5G5M46Uu/8tawJMsnr5HlpSk0qBFsiOuZsgG10LEZvkSZvqUdtpepI9bPtYA6D89rDpUb31s4
SnC72jYWslS/SkvZt7rk8oHjZ1h6hJI2bshFTCI4LiwQ+IsBhElidf25zlwQ4WFs1oQknf45i6uH
oWq2g+aauegpmFw2Ku6uYZy1S2eGVbrEa7xyAIaVjkDyb5bRNDxJE5Iakiubz+pP38PCGK1u4RDf
h4MDDbkgW3vtiJe+45juVzH/ZoF9ongHQF1xGNnPcuDzj6+Brs7wO/sX6s6sN3Ik7c5/xfA9BySD
wQWwfZF7pqSUlNp1Q2ip4r4HySB/vR+qx/56GuPx2PCNgcb0FKqrKiuTGfEu5zzHivdWXwZ3xjyb
v0Dc8aRX9VUN1x7dBvxVMzAqilX92yvVVV/EQCJGg0++RghrMKAxcJhFqzlnwohABqqbyI0V1Z23
m6cKG0RMiVN2sGFxNuj16HkoDSc5vxq87h1RpfM2zp1mT9wK7MM4sxeV4fiQyeoB/FR6wvvlsV/M
hx0aIW/rw9ncZgLJTNsl3RZTNTolREwoxbPe2UyFlmAjQ0a7gzH0iKFsYa4dHJYbsM/oNc3Qnp6T
VFWwyUJkqAE4YRcN8DaIwdKppv1dN9BCmJ03J+2CkYuhhGC6dJK1mw3FHXo6F5hvx6ojF9knfOxy
ZzJ65y8/yvLOoZja5IPpMzgOOQlBnXZbOTX+yxjY0XedDWOy+tOt+k8CIci8+uvtJE3TdQTrLNN2
vED8JQQU304Tp7EZH327w3JAvnMBgREU9m1XFuJprKDq1l0FIHoUBCqu2JiXj2VjTNs2zq1v9q1B
ej1Vo2VtMwUc07Bd/GXt8umvK9/imhrhSdRrYCXIG+0+KegBfCs+yr7wx1vt5C2s42wenztXMCb0
zFIgcQrAnl5BMvBvZlbMd7Efc0QhAeyYocASWitbdZ+GsKGtyth9yboJuEtJxYztxGCTb6ISGWGI
uONNEGbdcRy9ad9zvl8RmKR3eQxTdRaDPkhNA0f0zshuAJ25yEm/RmegnhnM1xt3REXdMqDhNQ6I
IjDN2ysLG/rO09xbCgnAqnKY77kjA7aD70KwRrdkjUO+x0OF0pXF0nBozUkW156DtThoESgzRDV+
0b1NJ3ihCxO0YvvdOqZxyTIX83ylcKBNnbhjzBE9NOOEZ5O4wATwLfF2MzlMQ2pVt0UAHsHH9ncr
YTe9lEYtNoPw4V1i/dgxFGN5ZU5qW5sEWwsS+GLsoMw538sUhlygPipl7fsYcxMmLudcp58Du4bA
sPzryoKmII2ZrCTAvZfYzFhpVbxx1BtInc2l9h4d41CaffJhNdLeFjlhPb0H1skoLwgWknMcFgi9
8eljRo8PnhPKI9cKBmnl5s8tyMaQJlsw4EUDi+Gj7oYtphBjxcy8fE0hO29Mu/4kF02u29YhEWoO
yoPFs3nL4MJ6SCL55VWOvgCnbYHy9P25U0jzd4Yfd8baJxMM3X9vOdGpHEBdfeeTU7/CNqgg/mZe
4OwDZ0ALheHJ5lCWUr/gZbfI5y3M+mMi0ulNMVGYH2S44IjInQDN6AZR82aJKD4jqxdnHOPu55gC
7MjqoUehIoXxOcRZB2/IHcg5shSduWEmGy/28LRCvXsQwlBf6LWDVWYHxYNd6j7eelE272Xuk7cB
RufG03F701d9QCpWUkbvsvCji+kofFcp503TjNzzzJEJwtIJ4nrDf2wyx6KpFMRtehxKXCc6sg6j
2eSnZGwMm0/Tik3YH0Z2GUscXcBrMZ9tzTaDq8LwQqUQuNOx23LY1WRWal0jMgSgTSc+980a03V0
JtAq4O20U659b563Vmk0l6lKixeuFudXj9zqQOmlwGULSPMC8z4O+5Qlmvb78gBKdub0W9j20G6s
8tmVaXaTTZk4s9cbLhGKlNceM/RjUjjGrmnD6DIbGSWPMNvygZeRPVrzzKfbJFxNM1uPk+uPw1Xc
OOzUpN9513GGP3FRO8utG1bdliXc21SXySn2LGaR5pSlqCoS73UKx99D3RuMhKxhYLZX7uwp4eoC
pCL3bDT0OwRMRDWh7sFsgL8uPjozHh6sOndeGSgDoEDeT+8cdTZ7gQS24oFAVvE+Z4254VIy3lyV
pBdiQYKPumv0o+Xo8jqlkWb7WtoYHqnC5cFJTcTQaMmYRlkV+TKJmN0vpPnpAVWParZC079uZZ/1
3KuQNsa1o9X0bvqtcR7NugALRYMarOwyzK4MJ21unH5hitL3f5tFOzM4VJ3/YjG7Uas0YJF+VWU2
cP7ENqNXux+nEHeETop1bbRsBRWXxZuPnPxBjuwOYO6KNUsvjFwdxoVN54RlsEbPCqNlhJ964tDr
+o05EdlJTF4DqwnUhv2uvHrKDmhg40/m4MxtMTINN3VKzktjh0W7ykFDzlc+NbZp1Vl0NWmOl50Y
lfcdxcq6DlktnpjEt9new577zH7OJjJBWd1BAjV7KjsZ3ym39D8rbamHwaKFYvJnLM0TKjQegogv
IaHiCV/5hmdkjVzRvZ6H2jomOOvof3TBlB7ZKqkOvuNEd0oGJJCZiXE7geJD/m0ihcbWnBu/MW2g
XesKmwSXrjPlmYET0mGRi+GmmVE/z7EQn5HRTd2OR775NakoO7LdC7M1+NfotdTIR0ml9qJjT7/x
206WhO0iypst3ujS2jSJp7ehMaAPYLTePFtFOo/kpjN8yQ0T2eNigdgG4ARjqgMiM9gtzuqqa9Pg
FiVYcOH9Kc+MeKk63a59K5oR+Dt6+XLTUrzUzP2a+q1QlWJUAhuCtZUBAc2KRn1sHXIwmBOn4waJ
KDiH1Kt4HtMa8I/j1Mltn9jRoTEEW93RidCHMXTrMB/h08cdlxFciQ+HqDhMW0yYSuSyhOR6T3AZ
pk/6GBBDqU7YzjQkGELCCZP23E56staJCvTd1I6vpEc9gMxqHpm3NcmWyWd120OHqe6GTMPxnm35
QdSix09NuTrj4tfHBonittZ299o3ovutI/QRG6jA/kNl6uJhRk7wPI05N1E2ePGxaFEHrGciEZDZ
WyVzN0gQN0R5gGTCew7uKkoN+AsifmoH1z5NpVDtKUsYnu2D3hhotVt/PJdB3N7i7wPzSrLjBVe2
ZrnvdEfPHfw3RD76oaXcQrSijfBIq+RGO0uL/FhSb+Kvb6ZiM/c8nWvbnirvtrEgw25MBh/r2R+m
vdmM4mPAe3fsQTafTWJrMbp7aKKdlhEj/WRNBRZDDkIu2aCnMVqSnDD0jF8eG+3vqM7RQbIdZ/2c
9MNSsXJOfNDODqueFt6DeObiWykXpYOWo0dZlE7P0YincMVbTM5AQOgVvXQdj92mGEDPrrBBTtM6
GmaxMTxQA+ncq0dH5qm1cUJdUZrlooz2EcntK/RJzY2PUHqfL9vt3u/1K1CwMAPhX2BRBJzPuVkn
rC6ggXAesWFXxV2NIhJ7Ip1wsteNM1FfeNjp8oCqaKpju9oKcD48zHmAya5R0dfcLkZKNpwY3RpN
gELAIhYhcuu3+Ctz7AWCeJjpNObs5Y6+F7TxNgRD/l4HlG0mC4wnjfjzl8xG/2gaQfkiZRY/B9Ce
UfLb5rgfTcMCeOWovevq/kj2E6Nm9qe/0bdMdMQCLPACzc31ugEnwXoo7LDnSAOjYNVsgmyij4Nb
tilsjzYfoyvjz8iTX44XET7gBrV8JBci35YIMFdR4J68ZHB2U57jRuiC+WHQk3nOmc5sWJ1DCGDF
M60TbAqXDqToFzkJNhL1tnnITT1xZxNpwOpfGfSLSiSXmaEUTMg4f3ECYzjnmaMfKwLSjrSOSzim
UZm3iTf6G4JZwpsuN+Vp4Av/OClK/9bIp0PkwVGaEjK7kdyXtxLxwCOPPZVw6pyspBNHbYXqFeG+
c1W4Frup2dKHWAoENFEM4lSJcm9nzarz5AM1eXs/erq5AiHlXMfsXQ+Zm7hvkLejz1CQxUkPBMk/
cdpNOFvZdd2XyV3nQQwLAgcfWgH9aLSZM3ShHf1mp/EUaiNnYVFvgdiJPbXdyL7AiLYTgttrVSso
6ASgNlkHqisOWsBbTbbxEQCtgtln/6CCmzKux6Pski/LI0qDaUUGqjOtV0pI6gG7P9kxQTMuMWdX
oZ+yVQDIuo4snb/D6ClvZgeLU4A8hReZd4cqc9RBpam3MZSP7suU3c5LgLlUwT6ouDz/dRv3V/Ct
j0TWRz/ouGSkoP37EQX+CXxrcPyWIwfJET6LTdm5VGm+qKIzMgpnXEseIRgPrmet6l5gz5567zgW
xID+716I+EvGIq/EAwQhl9kq/xL+X8C3bR82ukD9epxad58OnfqMAzHO9/XgBN2tzwbavcsAiogt
4onxAmid/s/1U4VTZ+D7HTvD86htNOsDm26kKWnA/Eyg4ms+XHwaJO11BiB7Zed3QRDyzrsif/Xh
2zKWWAZyBdCoT3goJWkMdI0vjD+MnVZKPNjDaHy1cUjh3fvRE7KAfiHgR8mrSqDic8SR7mcmDAX8
wXzxWxIR4yTW903lpv6GSWwAGMHMrpxYESw4VdhWBxHdjhg018pv1YUV2HRlaC1uenIc1wxs853Q
+astKvNe4dv3Rstf28vQ0lvGl4h2mGQO2L8YlRqZHW8ZubJq/Rl7QlNhBOohK/1d/wxGbafxvj3f
Be8icQTM0Wy9uMIkYKghi5bx11KwazSc9iaK/OSQ9Ki2g1jwnOY/1b31U+lDzqTq1z8dQDJk05ck
l2JLl+rfpj99gqUqQdwWN5rqmsDei592gmmS+5HMyeICDPyjEdpPkZz6Y63bCKAEb3w2T7CR0mBx
PS89y/DTvvhLJ1MsPY27dDf+0ueEsVbxFmFW8ZBWQDCA+9ERLb2Rv3RJxEYnmxYIwt5uWmaUy0QU
GSedVf7TZLGmBGO2dF7B0oPZSzc2kVDw1gA7mNbMcmjX6iC25wdXdtkbyqn6Q3ozyYzlpIR+QYrB
mySrXJ7VTH+5Hx1MJ/ySpn5lFeaW3yBbUADFso9+K9ED6v3X31f7Z+j/Jz60z7jFYythS5v9hOXb
f4la67E7DCLmOsHzZN3UBt7yakzYMrbsmcrC9I+N3yJjh0iAELytbn3E39f4lsEkG+6oT66KAMVj
oIzYeEO4XhiG44WuB/eyw5z0tSWvkEzERDQPDkThVU22JjPAZNy6nr7F63075iR/oMixhmvLL1gS
d0KHX0RyiJ2b1C7gmSa7twMoYI120xPc7weCkm5LO7wLSNG6jsKoZwKM696MHviOi7NZzDc0ZugA
DcxinHgmJhnmdThh28Z3DzEmN0JIXApU7g7zMNRefoc13LwTlTU428qR0aPlYT6PBkIEYNEaeOZE
NTJ7Q79/5nBp7nwEuLuOSkZtJLNl0sAdEQxbqfPsBJ+ggO5gtS4jQ7cuvyEVN0vBjMkql+rODoaO
FLkx3FQC/Rg++BwVkx6wmeVe+BazVXjTcsKzOhZVu8PXFO+Tgihybl3HY2cBnxOzPAIfX/KVc9hb
LmlkLmSUIh2+C3RoXF+9Se4nsAF0KF0wpaTUtfBfvH4I0Aq14X04BPFnYTnhXnlRsg0BTl40kxEm
BYmPNVEOJ+I9xjUeXOvMaHHmqaTozNNAXxFHYaCWgejEb6fWluGXF9RUvs2ct26eTHiAa1JvCOgb
FTMzNjnxzu17rrRZDqCqG/WGPzR5NOLOfm5YnQLgms14XQ0NR5Me03to3lCQAWleSU4p2Dqe2lbs
GrZjFHt3XmylTyUSEE7ROFjsl7wzp0SYTk4T44IMRmOxd73Y5HsdpAI4bPUQBGO9G3IGFO7PTTTH
nXPvGm10M87EKDDeMXtMh6JU/h0SKIKg62WJZP3skyylURWEP3smc1k5tUx1sdnVyyYq7HK2UkEy
kbpCXu6n9bO1Cthf2T+brA6l/g7mk/ec/2y6Stsw5KpKgFevEk5vzGtuVr9FTPeSg3BcKzrPNQvo
7XKPfTv9qEF2a5sdvFq2bSk+jx5lg+Z/6QwEznqsORDE5nQ7Yt44NnajqKsbh+a6x7Lbr1SQZukh
9V1MzxMDDLlpE6u6EnC4EhSby0xXL+PdTFqvDc5On5CeR4Sar0m7fEHslM2Ql5yacF5yQAJvV1tV
v7zqbidZtF7pmBVRZ1TyQKZO9/GvD6oFmP+Px5RFYcEh5ZiusITzFzOByWQ+YyTqHYNInqPgFuTL
dT38XxhM/r147ceq4J//slhXvqp6amGKqv/2jz/s/vhx9KvafKiPf/gBlly20/f9r3a6/Or6nF/K
b/T3//Lf/cn/9Ovf2XEvRzqV0f/aYnLzgcXko6NS4BP547c8fv/X//z3X/d3p4n5t8BkrY0SXfqm
6S2J2X/stcnSdllp0w9KqlSLD+c/nCb23xjkozhkey0Cjyf2P7IW5N9ci8oscNlE83H6zv/JYtv6
w0ryp6eDapORiGdh+vRdpnveUgv+qeqEVuUDAjU0doDaHoBaYgZGmsfeZ46d31Gmgn6tCpYOG/Ad
c7ti7Uh6oxXx1AYGQDd8uykhMkxxqtcCfH9wHpgs81+Unf0lGtcygTiJo6cds8CKGmpooF60DOSM
NK/vJQv1FwOdUvRgTs5Y3RN3kHebJE3wHqPS4dZoSze0Nw6UjnaTxuS4rdTs0n+5QwdKKijsAje0
XSDCY6PD0LSCVnRH9Wz9ttIK1I4mwG3dIDM+NlljXOwsNmx4B/NQbMBg03GsYA5ltxi0x2tqsAJR
UW52/AXa8aQUQbCbFm5WeA4x4ybsPRIzu/iZ/ZrC8SV4y0Ctz3rQRg07hi6deBKzaZh166TXziAw
0OEXiGHGZDpqN9XQwU3Clxo/Oj5d9K5tFZZ8ymSOw3FIk/S2o0mAIqXtJ7eBGGWYYop2C+Qwh1wd
jdmp1XWP3yDC97xyPceskczSsKx06jv3NkLIaV2bTg+gFSOvYkuLkD2yb728q66t1o/vtRXVb51l
fMlWLShpnXEaZSwitqimOoXD3fXBWufJC78b0QND1N6F0vCro8zrEQl7mc/4Is3IuWRwFBEDROEY
rt28Z8IPnFiQFTPNrGhGQiWXJTcYhBtHee0itUMWjQRyZu/QolCCADqPmE1YGsBibzVUSpkkJGL4
dId3JewNOHk+uLBrnyi9bDUEcO3Z48DzkiogrrGbkiwAD5vF9RWDQASdvit6SolyLA+29pXa4ECg
KYlmm/+vhiWWiJVMEu5o4of8aLKkZAxTYMXcxl7t2mg5a82SPqYfTbVAO0Ei1lMRQ8d3o7b9xnRp
6RNPHfJzswjRbAytUuSDWVWwirkFj1HO9btqZlAha9PwqUyIzXJPCO/FZ43Ygr7a6v1iG+uoGzbU
53xiUxtVJ6am1HsJqrtr6uX4vk24rMvMfWIcgCdchY1xjHorPvnswtgDWEX94pepdTH6uHufGfRf
AfU6DOC7iUzkj7YfwnaQ8aoC9mM/Jm3kuSvkJxX1lVlPD0kpiA1CL38zSJMynbV4bN1ii0dUqpku
j1u7ZLVyIFKuuAlSmmwmwRXQUDMdijcFSuoWbDZUYFB1TC1gCaN/hLjoPIKGgAZl2oVL/cLOWYE5
AGnk0HLLTU0JS/U/GTBye6wS0H+jwrlpa4sN7gjlkVVBildJBRUjc28CRcmlTndoIbj2N1UTs3z3
zfDZmPNwP3uIBwpdsRxi0r4i9inZRaHDJmjga9cgU/CAl7cFruuI700ddOo2qkC5YDWvrko2y48d
1NqYrXTOWZAH+sSIU9y1VM2AMwKB3meAUM00NCeexRzs4tCYjfNkFVl31QGuepf0fcF2VgqEcqYZ
xKw8EQ/hPpiakcolij81/d9Ew+Pb0PlMCwJWkzePiWsyd6EhTlZwLJGnxi6mJNjxbv5dyxjkDHly
gpRjqDS9FZVfzVANAVWY0NE+5sapN0VGIIVHjN3WGaLxHDdoQImUhHWLWzofH6A4hi2d16QJlCJH
Al5lUDTWycVwfEIWmvfo7BBEAfs0ayju1E/QikOe1bU0m+5lSCfvlmVRtQ68xHhHbO2VT37aGSac
K74oKzSr5iakdpEbj2vQ/0IHLLC/zWIv25HHM36ZE8P8VH3OHNuu0i1YknYXELSxiTsM0hzhyDcR
NPFHIqNuDq7TYZLriLfm2Cct+NRMU1A+VroXWJacet4CBAovMIXNRyZxvKMuxeGwLaVFZ5QvCV+U
oqx2e9Mm+Mv3JJ5CB6Mf2YRhNRzoyvvsxlmyxPDtModLLRLGajvBXjP3ZI+FCdRJy+eYA+3FUoLz
AtXHxpINTyKEPfbJYxSMT8E0s/OViQXiqeOdT7Zz7bj3uV5WdTkMmWZNCCXBaSQQ8EJsGdcX8nwM
LoDZA+wbY6Ju1jGwTfuYQEJm+lQkLupch02tBWb/aoHVgR1ZMt16tF5Hras6wd8dBN0CNmhDxtDE
wpVgCb7hazUv5RIaZwwKxKjGivGVYfRm780IQnI/9DBW+SNUsR6WSDrit0mn6yTuMFhKaIbot7Bm
rnx/eRNK8KHmmBXpHZLriQKhFeLDh1eB/WFJx5ugdd5UZo1OyM00vEVnCcJB68oSawBGdQakkFzE
EsDHWCs4ZVMUiJ25BPSlNMe4v/y+G24ylu6Pw8webDP+ZPxFWQvuULu9/8sbGR8XIrLOIRtkkPA/
UYEV3hj4IZCGqo0/eP7KSnRMCgjLnung9Gkd3E3+kkUILycGrdUGb66c5D042qtGpGRpe6q49EWQ
XAFpUfEmLK0Eqh7KjRBy/CFlU7Bi2P2Z1sDMkpozk/iQTLzLtvDzdWQzb1RJL353NZq42NHVR2bM
Fv1Xg1PK1Ah/OGNQCCAVfMCk1K+hsqQIUNoClIq2kwtmb+9kNWzo9oMA7lwAkNvkedquaiuK8LOG
LIf6OWJJ5TQxoC58k0jQw/lkNDPhTGZkuxcnR33zHlsqunaHDKB9hbkfnERPMmeAiZRhqMCJzove
p/D3/SXHFMpmHI1XeO8iZ21CENtC7pi8LSAw7zw0RvtFhxd9Q7yJyfeeHg2Li3Vl40BOgAcD9010
Dbo6dsEH4hNccMqcRXBuBWvKo1Mq97MxiLraI923jRNIp6PlTAyBaH4BsaA9kVliPeauqN+lhZv0
LAjS+00kWDlSG2R2QTRLDLc8TkfyjqRNdJEN7Q82pDVW1gFHs/6M7Cj4xoAKCLwKxzLZu5VVfTeS
9fL9GNoQD+zUQhECOC9S10lg8TZGUcAuwGFh8Q1miRVQ4CxyztBES8DtnLFCya2qYC+OFe8Bg+4M
fDQzigfY35U4VhqJ0UW0zWXo6qw6MakfFkbFON1PniixGc/xDU0uEzs5dTALdKv2bcyVpXJVoJxz
GPus7QYZC+JIV90l0IOPCAL8U5lCRQ4hddyaDk5XBu0jGR8IStdhVedblE8Rdzk1yHfrCP0kSy/e
shhG7lBFNlV05T8bRhkCVZtMH78RRu7yYypVUO85aIPHCez1dz80sJYipy1v+6BrnntNsn0qJvCO
IpvI9rQrL0e2EFkvqOmsZ5dabVFiRPsgJ795UxWti4ivIAd0ay4mLZYUdbMWWe18cUHSw+PjAAvk
Y+9WYfdht00YY/HJidOI7Kz+XWdN8wKOGxKmFcTkCMuwp+Awkql8bqI+ehwhc+HtdWG4m9SLDyPw
YPpo5nn26zyC+8Qvk49fcCFwnBoOpzH8XU1N/mHp2V1jj39IMxu0sC0WUY+WIjg1AiIoqnNrmK8J
780mzAAkRZ0TYhttQqwML10ZTk96k10josc2nhSg6LhL4rVplX60S5p+8UhD7gaM4qvHDtCrXLNE
tR8S8H24HR2u8njK6ksLMevCsz8fZpacRIH7XPMbhD79XQJscA0RqL4yc2ATtkFVkOTOLwcKQbeu
S4wGBIGk8til3RS/FA0A0XVg1wRrFHVLRYi/jwGjaPo7Z9Qbo2CnoVH+bRs3Rt1fAAARJmklQze8
Zz0jyB2eZ4DjRCG1wTJ3l+dGB+oyGuG8j2w7ea15b49lqVvgtES2VIfEAIC1yQonQU2CzDFbO4Nh
vMXK7Y0TKqoSmJ4ovKdREO2wKVPHAljdDtUX6TYe0nou2jORzzRnlUeqA7d3oB8S0idyvMUBuayj
nN+wto/vNq8C3vsYk7vu836TVCbqbu+IVr9j5cEIlFiZcwtw3HykwOWETcmB2U2QUU4hlv5fRdhM
O3fy8mNrhXNyGILKuaFp8MNTk9b2Zwp4brOEJMkNRcbs4f0M2JIDeNXvGk4MzDEW9zafIqkeORgB
sGxEL+EgFxlI7dK0GoJ2s+GTr697DTdF1avYQjlM2VHissGZUW+GON+hy/GwK+KavmXHqCHANgz7
Tl0Qh+6OjtgUm4hkO7oq2huXQWVCqJcDB0+SmkdapurpX/HQgWmGheLCXHUDd3pqw85yDkxwofkn
XRl/I/yUxyHurbdCl/6mg+cGCo9jfrYFeDE5uZw1maq2bQnDqZB+hBiM9Xu5njTx8ysE0t27QzIT
quFB7l2rjZ/bxM8BlLKPzXbAHt37ucXhfSL4JzQ3XRC64QrXqotrVQfE7o5RSkFJMAgSpLjUt37t
B/E6UknwnRAk+SC66AkCb7uwgUijqkoUdEU9ezvB/HjPYtc/TR0DY9+BLYFIpb7zBuQ1deu6LfJI
KCrbKem7SxuOLIra3ps2SZl0X6mKiQkJ7EC1B0+V0HStWH3Xah5udZuiAoZx6BFSXZFks7LZsX44
ajQ3OZ/DbwcW5GVAW0Fln7jXDlTM+7SOHDK9wvGmwgqM70uqVS4ZU62bYjhkjvvV9RQ8mRt56GrK
8Qr/7kNiN+aePTQV7+CKF7LMv3ncNO8xwuneTb7zISmOXSiwWCUIPIqUChm+0tkBnnYqZMcLGqr6
zuca3iWqjd6pKQp2AMnkPjjZh2lLCSIglBT6pdgkABu3llOhtMMv/RDWilhpH9oWB+emqjqxR/vv
fRM3YzH3bZ2jqDNYcT5CDzIf002t63KXFq2Ai29N7HF98zNonfLKHezxo29r8MCww4pdAJ4OwmBW
uQRRwWT9mnu3B6ueWYtQTPonlQE5QObD3x2XvNF8yMz10TG6jbyeetEeKk1Nn7nC26eo9g91iIps
NdTYqnwxnV1JWshKjvl0PeqBqtAf1fxrSiEjMTAqyRl3Cv9xkq57PdlYntwOPHCsc3+NYt7c2FTy
v/D6Y0RQzc9l8kruU49irJL9TedyiCo3raBQQ3oJ92CSooOypn2T49QqVazhWdYMP1BjqifK3YYB
xURulP7pOcgo3DSdzH77Ig6Osq3myzil8xvWNfcCUa0H0IYIbt3YhFGukEiicQG4sWZys2frdBzt
qN6jnnVve0R7/IUgNyPIqEqKHaNwdmycwnXkKXk95PSnvec0r2NrXnlI7DMIyp685KRhHgDEaWxd
DoMjMy78dVZmr4SzA2szCxJj+rY9j8AH0ZOjU6jlMj7rxg0cL2tNRSPvCDNxtxLv+ak2cRKLqT8I
7Z19yjywLJ5zNcGOpJAK5o2NUBOBgoIq3g7JNboTY8sWwyOW06S8czF1clClW74yPkLUhlzGqIVF
XApWBLYVPQKdCoZ9Yg76ERlFhzEY7+uqCXp562NIQBedutPNmAPx4MSd2PqU+Q4BFT7VOaptvMFp
rbZM045TGHdvRuqbj0hYlEGvMndP8xBQ7UWZeMF+Yu69IoPLUMGQrl0+f6J1FOFqmBhPjR4pQ0aS
bAYpJXUOeOJPUAYfLirNtUb3unLVXPwCORPuOR+qSzOPI+VQaJzhAvpbJxxfVMrF2ltFuSE5uq72
uB6GdZrrS1zl3rmWxOEwxUfKtApi2ptVOMrkysza8uiZrf/LVOIOgcG47mCiU5CF0x1UUZdMZjWt
LRSaC4Sf+ZFR7WOAk1gcZmZTUzW7z65dyDeZGWsTsjwdZp9csdKp98D1SO2BzZKcQxZYnyxqxRN0
SPP32PYG/UAg73qgz3BVZnVGPJSNN/FQx9TURnwo5vyrYVtJipUA/EjpPf2GV05kSScx9AxDs23N
gtm6iT/d6adyN/ikIK2mqQMnomcZ2ZTDHuy8LE1QrPk0LfemKARCwNLi0vtDtv7/Gkn17y0V/j8C
V1mCef+/WiscPtrpo/yHlcLff80fKwUPDhVeFNPzpPXH+P5/rhScvzmY3f7ZSkGYf/MD26WAwLwp
HOH9CV7l/c0VgRkElg24avmZ/7FT+bv5gHXMHzuWf2JGkB5x1H9eNyFdsVFzBJI/xfQDJJ3/uFDI
LDu2swwUdzogavdMb/R2ADmKHamF6Wvkqv6NuRUqOiI8aJQbXElSO2JrYiM7tIMdHNO6VQ8UStjc
BkhHzxUjhVd7LL0zDhXnKZFhdzPCeT1OhcCBkxgCLHakj8w+SOUqJMw43wwS7nRLOd8Zult8dk2v
zljn7EfHSzGZJkZRgvmtoar4bv5o59a4IYfePi3kjLuuEdmmh1C0of4owJ1zjbh1mD4XvuxOLdPc
Z+zV6U2aFrsEjhIjTlTezHtwpQ6sf9NUmRv2pxFfTd9eixQaR5WziJWRbFjzu6h6Avg0+6QjJcrR
Wb6huEet5COnoELwcAem6txbfrABbrfxY7YUE9PCa9AY9Y1gNo39xHR2EiXk2bGRmg1elj0MylQ3
lcLtnrKAJ2MNNSPDaItzsxkueYl1elABqMLc7BHQyDNNWH52WZ7vG90HbxYt5qKLG+jFbQCKNnsR
JGztQS6me9XWdMm9mj+CglkVMAliEXJWB3bMYa9mL9+GrQIN5Jj2U0jTV5aqlptSgdZfa6QNb6bS
0bNiTvk6xWH3GIR9+MuandljnMtxSdg15/F6MsGyH+FVFh0q6th8KwK5TEhhFNAhzp5+x982EtQW
Osld6Q/hdUKZyjoq1luWOP4E9mD2kw3alYChC5aBNc+I4a8NQioq1FMz24ShL35bk4brOVigQM0K
DXfbVeW1QLQOxEgixZv4XJymMNddAhNaQ+X77+ydyXLjSNal36X3KMPkgGPRG84URVKkZm1gUigC
M+AYHNPT/x+rB8uMqo7q3vcmLTNNEkkQcPd77znfmeOuuoNP7xwzWM2rwii71zHl/NTKQL/6zG9e
oEVEq/Y2aPJSdUj7wf5FhIxYFJAZx0Wqa/Ip0mgaL7adfsex/BDCD4+qYbbW0+I52LkjVnogX2TR
ccK1lggAsZrTbBHHnrYd+5O0mKm10x27pn8uFFHcRvY8EjoWLwY/6u97hmifTathPdruQL9Tkok2
qWxPxt/ajsZwVxktJGNndrzLEMjqPHTDtJnY1O+wIIr32Gk80ozn3njzGQi+IEVF0ZINw0cReObn
ECIXjuNb1xbV5gFTERO7YFhlnrgko1VfnX4sOJ7k/SeU0PpFjAScNJV23lWvov2sGcLchnVI2Sqg
OUcXC2K84kfVKWpRpS1cx40OTkxuGUxjdRZjAr9DKvUaBgKpQEyTa2f/s5HKISnbpGFOeq45pRB8
YIoSgWZFy4zV4QzkD8/4iOtlEZvFLZ/JtoYXr0j8O1A00wpQSXUMfaYlXpfaZ7xK7VGV2lqTSdLc
tb3fWPSPU4H5SynvmMURwOYwh79Buqf1U3oTuU+eqI82crmbF7WesdzYOAF6Drg1AWwtTC/Yq8Nz
0sRlvSW7wcyXkDAyfxVMVrAqppQRCZJJQW/yhibQBDIfbXIt1xXHwA0ahpvd12cQuVJuKSX+vlit
O8fvE4jPhjx1wKdgeLMUv/u02IgTH70JMAaNvxm1QmSEqz6Hi7VoEk/ydEK0vCdLgfAwNyZzFdaK
voy4fL9bSEcj4IrI/nAbjkOLUrXx+1hJhHUsiIiR/TJl2LJA8ea/TyWlFmw7Rz5bVDCnrLaGt9q0
5/IuAaHkLQYwqntjMEW57QpJK1LDdviKqtGuoBQq/00jCMRMlcvmwbzhNJxqui3aSH1ZGDnOJUuD
OBLmJ/2EV9g2b+QJO8CPQY1gA4KAnr8AMDiOR8/zC3OXJLZqlo5p1KchT+t4PY6dM64j24Lo3BoD
apQJjBWwQ87pj4nXAyMY5MzYBbZB+2Uya6HU1Z4Xg9UXdveoYtM4+M1cbIhD7Rry4mOIbikS6kcz
Il9k6dqZfmeq5ollQYwdYwE9uAQ00cWBa2XczJOtCDk75lQIkeOIHhxMZt0BLPqnZ1m1t9HC+Ksx
vPKVzn27pac+5UvbFTgasrHOr0nmh6+aLuSRcuFXPRnNp0iCqzuOZrXg0OYC2cgrb6NpA91poceP
CVUVfWPdex8YgltJ+G427U1K2hB7Sw7W0er9a5jJWT5EWWhgi8JvS4/Rb4YNQz4+QOPH3TbLg86l
yzt5DAZZfJ8BAo6Hm4PoxXQT7MY6d9sVOhtzAA7UDD8tya5CT3Tsll4SE8gcD+JoZH1LFLJrtc2i
K7TYG0bOc9/wILwpgEpIlImdGQrfJiOHGNpxWcVIu7eQ2PotxlLrWUPtOGaFsKJVZpg4iEuvJKLF
73nPfi6LO+ZFbokCPaGd0sLMuqvyvH4F+la4+wSYu1qGPlDrpYO2l/GXyVCdKku/G04OiR+DJm9Q
9FH+jT+UIGFiIedTafQ8MV1o5a9pmesDa6j1aVrd9ArmkrjT0mXWEfpzytpbMpYa+NOw7ZhRvQf8
/qXtIYks4iwYtr4Qxju6gpE0SWk+FyX5dhYE8C2usOAlmvHAmCrIL3R3IzLxKENWcecURycvafVX
IVeWRbc7kycG8AR6T/fS9+7UrebEqT5Qk6s9s2uG0bR4nUeREB9K7yUzvsq6I5wb2UdDpl9AIPLS
DiVHBViA+WdCp1Jtjb5Pm3XaTQEBMgk+0m1qF+ZbVzRQe0qz/OnHrixeLZLo3EUzDf41ddI42vgD
rJ+mxz2w6LIqewhii0CtDt4zbupIDIeww9CE7TC+IGGD89NK9HoNmlAmLvkX3xWgkHmU6gW9AbsA
Ayt4ZNZ8zWiaq0VGInCziGqLByRTwMUMRgPRwq4N80WlGcFRs3b9e5o7JDWPoe9T+SdNoEkts4Hq
ZBqN9yqMRXe+Bapye/o2bj6UH+Fb6I2kGAYj8zjGPEyCjUi96Hb0EAYmwSpXCd972pTtA9Pe+Tgj
sIf7J932qq1cXQccOnxm07ThQlvEQQ0RvZ8ERvF9ik2ypm3KdHsBhtTfGam2NlZlabKq+yxZp7NJ
VpBPLQXdvknPHqAYiylYaX8SFFS9GHVA28wCsHfympErEuRZfW+aI1dI4d7ZWWMkP/GxOD9s2+dt
RYQhvBCJOXB944kYFtwIPyTn2R1SjOCFrDiKz7k2WPw6+5TNTnrEeR3SQRb5vIUbgG3NcVUGbsWC
flik4B23VdoG92EwysPo0oNczrbfpaskQWAw5ABiF3nZOr9yFRQ/Q506dzgroy/weYjTo3YO7pkO
nGKE7vtpJk/1/xeN/1daNJ97x76VUv9nNdpWp6jRur8q0f73b/3PwpHy0KfUc3GQO9RHN8rJ/9Ci
efIfVGwmlEDL5nDuuDjI/xdkxf0HJmemJTBUpLCExy+1JHXF//2/2eY/QLJgD7BcG3U0Grb/l8rx
ZlL/qxDN5BWosCwqUcuGOvub6QAZau+1OeS6TpARvSA9fnqNbW88/eWi/JsC9aZn+/vLSI9YJ9sL
fM/mc/32Mi2gv5SoMW/tQfD96NHIbKC/RBy+u6zfwnnpt39+QesmA//9FT2MY8j/KK+tW/H/V4Vd
UMxIl7OQHB1rDArIhGYeL7URI1srmR2uCo6jj5Io3F0Xyqse4C3QUyvmjxJdxtbEm3/XMpFhXtzb
axvjOFb3fDgW0TzfW2Omjv/h/f6mF3XNQGIi4YiBzPAmcf+NJpCC4JyGEUBwFlbF90Au0hJKMP/M
gpLoUzK3WfQw5S/odX83AFq/Sa0bXqaIyEqhK0SDWmfPZTUSWTYSePPnt2f/633C23Mc07dcx+Ge
5H786+X0gxqdCkqntSbj4phgLhrpzFZkLLdDTEDF6FeL0lLVIb8d/kzDZG/AZLjmPctdPLr+qz1F
xXka44Nlqb0ZGxdM1qKggtAMHz1m+O+IYOSWxEdAi0jHvnRksUZOtbr++bO4v/dKbpcaRIAjbcch
RMP5zUEg6bOZnXYg0Og8vkeETut7HO1oNSoZEzoEMv6WNirWRtUO36U3YLfPi5LNuiw6gUYiMC6a
U+675/YASci5vi8yQ7yN8EjaFgt6k9jEByeASXIjIg1H9/uuiuN1E6XvSmCITkLxxhDEOXUG1NBy
OkO367F40/XImtw7UY/X9y5zQ6ZmHOdKGLdWuIkLRAvQ4nxMnKTV2vngoN4y42/gCdG8sDSjThq7
EHKJsmQ+ymp0aApz4PBsG+CAqnlM3/58Lf/54P72mOH2EbS2LFTO0Nj/fl8wUWkz0U44YRnEnCsz
KzdVOpj3+Da2vmP9MtJhPGsccC1iMRkXO1ofwy/yTpsvFxfisY4GhHpUlbiqOECu6IQO3qIsfWsJ
oU49ELpBSCsImfEQqWL6DvRgwcYNiTHMR+PNcrLoXs0EQS45Q5iLKTLHe5npdNNpz/wPNw4r67+s
KTyZty1Bwv3gUfjtw0pT9f7tIWjpmp2iwr5J78m02XNYah5Iswk2NY06yCz5fMG2QTWtBOd0F17A
jo6LfAYpPv2ECmr++PP38G/WV3lbQug1ep4pvdvq8hc9cR5NRY+FVawHON1Lp6l+xf20dzviNf2x
v/vzi/2by4Bjy77pqx1psaT//cUq9gfaPZ1Y08T238xqqm5PcXr+86v8mwXxb6/y21OayzTxWoe8
4MxJkp9mhYx20oA6FqgZp82fX+vfrAgyQNl221Gpq+3fLh+3ZKqUDfagFI59cIxi/p6JR7p3G8e8
2mPLslsCdKxgKZjlQ0CFsPrzG/g3lzRwfTfwJes/vqbfL6kxCFWjGIAl5Pcv1lADHw+JVvrzq9zQ
bH/bFIW0ODgIIVnCbVP6KNz/epvYLLmSeEkiP0RzVa19S+eZtmnSX0bsA0FyZhK6dMbhexympY5z
40wmDpDvuZI0ioaJ0b6GZk6pePFaRZEV4X0S47W1FQOMiepTJaQTmDreK5epP3UpHJRiqH+Clv0P
hsnf7w8hJbFE7JUAlG7nKufvn4X+ZVYTAeavqVcq3F40gBH8RavZI6bnz9ftXy5bYLI3uw7QUzwD
oM/+/lLxHNq5r41gTR0f3YUT5GGSXPtD1DBpc8D277jUwX94UY6Cvz/VKG5YbzgusbKiFfz96xoY
Gtrw0cI1naQn4joRnETkrQThOLw5xEOiKh7bqxEl+yYa3v2gBK6DsfozpflCtRQz9qRX40t/4YTe
Q6sUaA3bqbdJo7YIukmXCpP30G7fq95iwDiQ3iaRSrUF04E6Z8joD5Dgsp4i1G/Nh8AbQIGDe6DL
T5OdcsZYYEM3NyhCxFFWlDhRY94r28g3PuZAnF+0FxxVXICABIuyjhQPEKCiDM09O50rH8GE6fPs
fSIv/S4xVZ/LGQFJKUT01sJPOxt1am+GlHyscE7RHdQSO0Prp1u0BST9FXWevqN5t1ajTsp4GYxt
/23nQbN1Y5e2EvZp931MbLkJzOJJqf6hkVvN50zSyPoRMlpeM3Ek0tKIig86BoSPdkj3NqIG21cm
AYJIQFho4Zri5NZp9mABpwIunNYd4j2Cxq1G2z8Byckj+XH0zemcwEXNkOUHVh+u54EWGWQoJ/uA
9TysEZaMJRLspcq9R7CbBNbWDp7sUhPVupzreDo0TuxewrivIZtP69Ex10E17gjTm7f0qHeh96Tp
Bd50xeRaBb+mgbbKoJ/qXv9MOV2+JDahIARNF+tA9q9FTCxowdC4Ba1/DO3awrmWOpc+a5B5Taoq
+Fs5UR3BHGDCri9FML+MEW3BnvSdXaewGMc6Ih4nkyQVwhHuzw2sgK015+KhA9nyDX66PetG0qoI
Y0zljDq2EP3bnYkn69Lm0nora5W/DomzhS5fAbxLR/lQVYW6wD3VpFoCtKaVZ9fTqk376TmP5u7i
hJN+xsMVADdskETGodoqOu4nQ9XRDqMHxCcOWidNy5EwY9tcWXXh88qeIrqWlPZsGPGigUf/NELi
e/FEiBPsUuTPfHu7mVDqS6zzr6b3gWzcPiE9U2MLFfUBh8V2rp5M7OLLGwEQXegxNPx2m5rpAM8g
q36EoRU/VSa3ZO3ohAM4wwFZ02M0/HxedV1NnyiYYU+Pkbj4NXG6WV3NK9T/FqHLTflLmlgxsU1P
d2jNSEwU8ieagvfSNGlgtVYF4LGxk/EVmmoF8XugWzohqIwdVIC6jcEzDUSxMnp7bVT7qgKkrrR3
reYrr6zuJZKZtyuCutgGuK3XClUxVPOhvW+KBhcdJK1dSmLXhplatBYOb8oyvfIFoaJxTHhX9BdD
fjgrr6ywmFihoewtPHuI1MBU2P5wTzTzT0dEhxyNJn2VwCtRazjjMk1ifsCI4sd+DOS6H3tjkzlS
nkMUnGurMlAt6emrlaK65s3gnTEKqwXP4IwgLen3eSEeZmU6Fx0XfCewl0v06oO+o5U58FB18SYO
IDBpBPq0tNW9n9JTyoh4XERTnCJwnOPnjiEG/0/NB9Os+YBV3S6R96Qb4bYTG0SNINaK089Wl/q+
p3F2SuYwvwhgbMdOGMXaYBaKbj/dMgF7r2MmYlgVcAcbJCh2JrkUfdCvRhSBJ2DYiNGMEdfVkMI/
knWKtQRvEWL2+gFNCgOfkNLO2zDhenHCmpEiMTn445kvWH52NjpTX6NwOiC6W2o8PHOWPoXYNvjE
Krs45oiaeErsbxO/51X1KSd9iZFnm7a2TwLfXKarsfHOje25q1IhRq5H59GCTyBK16axHpKU6+st
jhINO8T+Kvv6EFtiBX76q0zQ4SZl724HLDjbxjAfq0yhdRv7YykY8Q2a+J+FMFX7hrTDWinwWeFH
RHnWL4CU+ZspnTqq67k5dEiigTo567HNohOsVglqbrCW8YBKeelXiDmMutHkZtMUhS9duhuPrje4
ifCOY0dFCyzNDpVj9A+GhZgyMcsSzD08SoZP1dX16ksMKRNTTWB8QrioPufGzLZW6BNCRDIQ6l03
ucd24bzxrqt1qzNBBFMC+xQjxzYmH/4zsIz0rr41zH2UNNfGnjACMMrb9YnWS8jklIP5hNgvqoo9
Aie6l5OoCWjMzGMO4BndP4t3mjSXxvoFjcgpFx789SfZ+dDhLMiSNrqrqxdl8kDWxk0G5qcH03Um
Epq78LXELPSm8wzxI7Pv6xjV9ZZEUPbCGLeq23TJByEJ81K5bb3pa+m/qcg0aXQST5M6EdttTN6H
l8WrMXOiBzo7HYocXd2TCysOXd+K+9DRYh0zl3uyCei54EBy9k07yHs3iPTaDNLo2BeSf2uD/kTS
7LcqalKMBfPWBFXkjlt0Xev2SxYi3pQ558UFEwpWlyCOLYZQinP/7HvTvkU94BjgOfVZmCTjtF6J
L54hP/YUib0a7fTa0NI/Ykesrt2cCPR7dfFG5q9YGob7MoWuWFXkTXMy6PqtGHpks93cpVvTDZgQ
uF5x08J5rGFus3F9A5GeiTbMJ2vn0RC9S399zgPM8ph29rVDxh9mRneRW3W1mt2CGz/sGlCEY+m5
exKOyY6Q5qvEEvcg+f2FHg3jUgZpfpyT+ttrsaKhNHI4AecQ08pGnzDV7fzW/VXK5g78QvQAwcFb
jVOfrW5R8nsSm82niGHtEgnYcOMYHdtIrfsIEZrEJtKExaBoEEzxujeILhisQAMJRbZJielBU80T
a0Nojxcv/LZvTq4ThC9+41vXoujMo90N6o405PE4jmP73RJ8AyKxjuOnoeTNGKYrfjqjGfyQ0PRA
LSXp2o75PSuUxqrxSsaoCYe+TShSBwjR6EyfdgDnrejbyWAyVpVrBpjlVZUwbeI67X/mAw4Q7OSG
OkRMNLYtql618K3EeiZOq16mzFawggn26572D6pLmJVbd1AI46SuwydXWZovPyfNqx2KaDvVDsm0
bVgDw8NTMS9wGeYvlQjGN7yXOXb5FkL7QsVxGK5TgtPJjqjS4JTFGejRzBhWDsUQc+TQEO9RzRbk
qzB/95iFbgNhMB3NBsS2w1AExwD6Hm8ePzbhmHPqrHvsXy1wW2M+jxkNylXXtOqsprg9pn16xXbz
hS7lVReuJh98su8awAw7rec3PQPOb8l5WE5x1uy0M1drxL1kTN22G5QSEHyDZq5vLaJxVeK3W6lc
6nukwaRQkCS58Z2UEEnDLzFrFOGIknjYhMzu0yIPyKsCUor9icFDO5XpAamCeinH+aDD79n1r3Kw
nxCfgoeM93K6Od3atxir+a5gyn6pb6DT1iz9Je5e/z7vZdat8iopVpV5G/hVM6G7kBgb4qaCGT62
gYzSz23OSVKUx0Ag9DHaLFtZDJkxEClbn7IyidxF6wnxOQ64bZe8Bf1QhyK6YM17BGriYAMpy/dx
NmfAtPCxd7SWhp99GnaPc3HjM40VGQdK+TuSRCO5EGx731ozF1MFirfIvambS0dteZJvpM2mIuUh
HXa9aUXvZHnexpNarlHplCMgUYLfM3WBxxjAxAoAfPRtovY+DtMXchTYdKTsHSRFkYAhWs3UrCYe
9oUOveQXv1OucybxasXs1mNj9ZrYXc5za9xlg0zXnP9brLkYdtYurdZ1YwfFfe/GEA4SjwR20kNQ
1wYmIsnErRywZqBwQErJR2P0b0QKmobPZC5U7xTs5oEWRYVa2A54uHWwNRhv4SecLyDhlj057t8d
TcfN6HQmY2TTXk+QtXYZibUPRm/q9egH2MVGRtF7hzSDoxk7IS5XfAJHIGnhueHwsRZxRpaDlVdb
HSKzSRzXOhSRfAb5dGcXbfU16yjZwnGJHzERVI8z2JelVkgPk4LltEVDcgkC2/yIcZ5ddWbbR9s3
wwV/MvpxWwo/iqiKHzVqCjAPVkZWRwrFT6VG8OzPXffkZ0EWrHSX/GBhyU9Ebo7Pg4nRZZUg9txY
mDQ+hglCt1PG2S6Gc34PLDI6WXNUX/pmrO5IQXL2KkITBuLu5iuzo9dE6ZDAGnASitihw+BJoms4
sL1iFHMQWGhiWDnzANGoeyRCEmU8skq/Z8iv4+RMZ7B/yVw6g6MxFXcVlJKAULihvSDz9GmnzA0o
NM5rBy/vvJ+DBWZiMadlcnG4VS+1TKGSYVmz7b3wqY/jnGpyh960nBZlQpoxWUHlLi6H9LVti+a9
Tl3TwvfB4GABetYktwL027O2RLCy5YRiuDCIpvWLgsJGRoV5X8eYNAzPRF2O5H3XYw1eGI6lKAPj
5oFtMt00DkM7nhIwkfEkpxfDKstnol9z5KBSrGo1hxSHZXfK/PECyNDn5u8zvVN8BGOhpCp/8Z+u
txxc3Gxr4lbxwgZGzayD2aXAH0OwD/GynEJCO3OXNdlLz7AgaZiaBCuR4JLUP3IVEsM89/bZ6qHh
LwwOPKeQ3K5PEYfpeymMslmHluj6ZQUZC49hjFwhr5GKrYx50vWhcltWhmgikbuiha6a0aCoIk+T
TX3ajr5X7DIHY/1LEYbtL0io8EtsOoflne3icVpSGDDDDlDcQRgOLdwIaMEaBE5RbRhnU3idPFhE
otwipcSbLsZiR3KPc81nJ8BKk9TTouirjpg7D3YqT7tQck2dOZy7eqhZCuZZY5rJkiDeFCXIp67q
Odwi1QeR1zaTfU97L8RvniDu9mSVzsjo8X6P6PGPmRO0zwhU4A0YOFaH2qdOM+T4awaHh0EZydcd
sqbiS1jqFsKWs0UCcmX5N4feuS/8Yn7FAdP+wkDsHc1ZGN989Ppdh0MrFhK/wR1bIcsA341bricY
z80JU8l0aivv5tHSc77pRW/e0w2LWM/7IkeJ7eQJUR+VOid9YJ4qmNgflJaUi/5Qy680bciBt1m4
X2tUjdlaOsMBd4ckpGUwEJMEgweTgAk4I3g3fGOkxHMF0IVCL6keyz6U92EjomyDmfwrv0EEhzZe
QtNleEI/E7XpfJdlA4qxmRYYvH8juuJszJ9GPQJONlV0ULG0zmRWonhJG43IUhMUs5nKuUNJWttr
haG2I/+ral6d1EO8zfb1AoiQ4AApYy/lk1ioP+c0+8RPbwGLqbodj2pEcJi2HlSbGsQPQHGD/2Mb
obHsxi4sl+M4he1KAA+G+NrPR4I8KQyohr9sUcs93dXoYPfjz9bqfzYtYhBKgFvOuLV3EJWtZOW4
G3dgCQVsoV8aFUV3MlDBfYpZ+mfvF1GCIyKZTnS22BkKDtbIUW0fKIULA0c1CRHOozJ+tsGA94nZ
2q/WFkP74/YSeOkwgQbXMXZjfEp2b4Kz7RNKe3Rq5rQwncldKKsHHRvy4aoppASfX0TT4GkA+P2V
YA3Llj0MkTM6jIc+7sQRRchG8LHCFRE/LR0dBBuHnlDsfTO48Grr6R2094xhxxAuEjw/23rdNOa3
JWJcNdP8ITV9OLyHxS2JUw6oOHznreWj30m24QX9xQ5cIV1IukvOy83F5hrADBdpOImTgSBiyVkG
bUaeyVVtzccYae4h8BpIzF2tvqccIhChrcY2VNS6xpii0KiHjqzMcgIgIjXPgWHhx+NIC16ezWrA
UsiW3GX2uPWa2dhWZkvUXEPq5yLStjq1tgEI3m38feXbEXnOcWQ9Ktl4P2hlpAHeZjmaSyMd97PV
XouwiR8sm75gYLQ5NaB2jmEIaSXlPpy8CYC5lNW04xsn4WG2XYaukqgDHQcHCABvg+H4L6hfPFzV
jVqi5bJozRZAKNh77zR04iMKVw9Jc1K/9ZaXHgqyPZccDtTaHuHpJj1KWGgtw3GEDoxh0oRFGjgx
0zq4qPHFR963IeWnPzR+kPyIGkiRKock4AjGaFkSlc+FJ7KnKNLz1TAi/4V5fUVJlITFzV5A0ruM
zGqZe5jrVxiD5Ys0EkTDKrcfuwl6oj0lBCS5ndpbc9uSr+bIZTM06fKWFlguXeSFmHQhemwHzpIk
d1akpiW+iWk0E2G8CmI34rg1YXlMgrqj/BVpsAmqgaM9tsBuzxSagJOprVWxQcCrrx0CtV3O8b5i
NZU1kQt4sWGvisG4JPmUnuqqCu9kXZCrVeFBBgbl3Y9uWe+GzCo3WN/TlehbaiCAVasmTNUDMsqH
tnCcZ2sMwerbH0nlfQZ5IBai8sYEzBu2Cy8mHQqkrrfspvzo6VDsoig2r6oSpMWVjrwroNsekzZ7
KsFxgTHr4181av1Hv3HdJ51V4R6Z7Lw26v4xtFHNQxMZriTgmTudi+w0spOWuijXbZTqa2jM0aM3
F8W27RpvYxd0mWnoOkcwksTI4YbCHlpB9BxY8yWWJDPKjS1W2j10fH+ryZWCs9P96qhWvoElAgA3
xqWe8FCOwBvJRkSglahib9pVvq7JzN36cUtvCB0t9A+6A5Du5/iJyNfNzDzWIfh3f+NSrc2p/eGi
Mj1EA3ZnqbtGECxxA9gYrKQl/ScStky9qTIT8KnqbFJtxLkWNaVYl6l+2QiwqAAp8Lx0jJbVGl7P
QQITmpWxDlJiPxJD3+Ti31oa0VYbo7WfsIItOonFUZvNsmq9e3vudoaivkMp7x7ITjjT+62YHRTb
Kk4vlSHML9RxA0sT5bA9FCPt/H460AB7zqCXRsr0lwwelnZCWHLUa7XHhwmLGDhf14z5t9OFyTJz
mg9sT/eWRVUBw6+qAIPbEXo1JQEXknCAnYsSaBbJ3rcxpi2qoC6AlZZMsjh6+AdhjCSCzBTIGNd8
3FT4AiU4aZqUlBOkKI0fJQbnA2Rfoloq/IaOHjcRa+7KhEXf40YUX1VRuo9eHZV6HcUI9ZHlkvcL
K6Hb5fgfkMa7VXwnjCTzbuRo8d70lhF9wpTGQCwb5VH3BtaT48I+agbwI4ts6tegUYl6oZZez1JO
wYYBBa2Mhozs0HDDx1o5ECV0ACnVl/aeuKdVJAknJWMANV7ZD8O061GwfYZ+yK7oYzBGnWxV6ZOR
zCkjRwtT3meUhCzElnD8pQnyJTx4CfXJMso8QqkDkGyXIPKFs2ecjUFx0sxHGNCm97kgx+hm910O
tU1PFH77Qkfsh57JCIH1NPBQuzbJNR367FF3Lqst60a5dVKAnIshLCHmQLP13xXSz8+pssU3CSEZ
xOZAFzCcOTfDBIRNiv9xM6N9A2U/Wd0uFWz3eE/pRiRRT7VI2KBxkUbzRqMYmSUBJowwO//O9wQ9
fHJRXBc3XjjjwTCRqKNDODupvW8L9RmbcGiZc50F+3tUlWfHiIAhd8ajC7IYCwd5MxfBgeTIHRe/
h3VaUxHjXG4j896fyFoVo8bga6td3gPiFuEELzwNtn0RfPRRfxX1+OaCIcYAG3LMSGdSHEYi5yIZ
dVu3bKpT4CD/8xpu9CKh2RgJ+yaysfSVvbtkh8zoksHwKkCAkZe+6SBFR4t87oufcy8At7sOMTbw
uks8NYvOD6mZ3N5EZeIxlQLDMzyC0e2eI61mqFkOTepc1KcUAYOZZ8fWMcK1NfrWyiILAmVvFYYY
QClk1qjS6hV27XnfV073kVhpC3/Qm8bD3LVmBB8lSzn4JoyF645Nt9ARS15MnAQM7TQKdpOJNR8w
nkMiUlbA5s5L8VgT+8dBi/5pYhJfSkTsOw5Ja0uuCA3jiXU/qUSzssNxfpt8qrZiySiLzobHzXL2
muJtGCznAtI1jDZt50wfykyyneZ0fHSDznubMAfQ/GKsx5FoFssqnQLzOOaGiZDZ5zKgBzPSbdFG
4dmhNfSD2pQqZE7DU9JHJY0Krh9X0oh9ax0KK3+mhEvAjTbbbCLqqbDMA3ho5gVtnz0XXb1rtBrw
CA0vXVtAbq6iZwbIW2VJf5czS1rruWmX5jQ18Uo0gh53apydiJEi60ry3MGEQDGiqEx6brRFjpL4
VzknJ1XjuXaTaevbzaocchIUM8IsXBr5oM8TOvA4FGLb6Yn0kgQvubaKNsFU2NT4qGG8lSuSL1vb
WDehtQy7gvrzzSwDequeW+NSsetvMibhsYw2N8gA5wZ1ah30jzkGRxDdVpftshAYdTDP/j2ZWsWz
PQLL32qadcESR/3M+/LrRV960SWus1Pnk/nV9iohvwp8Y24X+W5sAgzljQkbFnPRMF/nMSl3CM+g
pduQmnaS0IocvYVmnEDg91vKqvhjthqLTBDLfsQR1tMnHlVyELPLEoYm/aHLGJv1wJXWrBvGIceT
QMlUV+6+waZVLj1Y96eBc8wdCVw3wGQLQRgzzYjLeCa4hsgg2IAErnLJl4atX7IWZbVErL/GsdBs
BwLFONbZe89XbINgcbai5QRFEmZnH6ngqkUMpgt8SV3PFwJ+2zQxflYETS4bn4D07HbiHWY7uaLX
A78S9HpZFXn6kM6zt+NRch4C2kEvbmwTthQYAsTOjFdUIIu25xb/P8aLJYwl1q3Szu7RObkcy3rO
zmGNX77m++k5y200q/T2v9g7kyW5jTVLv0pZrRs0BxyAA4vaRCDmnOfkBpbKJDHPgwN4+vqC0r2X
pFiSlVn1ost6I5mMYkZGBAB3P/8536EOiLl/1Z4nY01oPufIDUf82kNQA0Gl8lO6d+RaE/ppK+fd
BLIfrlD1WDwy0GvBYMOejenvWecx/Fk0JBkI2Gkr7O39C4Q0597k+ryNa5NLKaJTSNtLdedg1VpR
OuvSRSmpB+chi0A12gfRiAw1JZuTwMsconb45HcDsMPnJuRZVwnJQJ8ch1KrWaS84wKwGnUuJT0I
NWHujn7l+N3GR/vq0CJ+PVuUmTJOJPmNUXFVpZIuHzLSayo5XD6pvFqnpZxPseGx5AAo5dvRVeO9
Gdp4Lb35SzQqeen48oYLCrUeNWld5H16ExtmMQQDLnFODnZcTFf+wuiaflLdDbuKhyf0KDD7ey7r
hu2jRDLVhRcfAPlEj6oRNLyxEI0iqPx8nqggVQrLAPbscjTDvaOK9t2K9EqiuYdK9teNUcyHUkxq
nWUGrIFep9hn4j4JbyPEonuuruQ5K2vzRVuSjlrVRZvIcKJtWIXLtVtW+bpRA+fLkB67oM9NQgSR
1T9mi4Uw5QGPBuNheoe4tZo1trHoix8tXlCHguYtd5nv4ffXFyX9ultWixy+cdsdy0nUnEchrjF+
Mb+dkof1JMvmZKScvqwoz4/OHAF96f0e/mHCxGTJvXnb2eNyhdDS07iYGW8ZdIgn2bHRLjkk7Tu4
ueiwKt5NcCa3Zu9ucmsaPgy/gcOlLUz5ytLQh2MzuaCwd7rhiszZUtvta+WO6bv04Yu3cbTcK2WN
cCc579TBzPgYB0OAagz+MeWfGSrJw0w99QA8rfSmtRj77t6ciu7KhsHnXAmPqGU/mwSRHEMP5Ph9
eLJJzAR9ycTNLGOPk6RbmHvfjPNN7fZ4VM6hCAV27yGEYnNFdJ2NiKkQbXJLcz9z69VRxxDTW/LH
uC2wkBhYqJauujQq41GVxheJtfOhqI3mrhrscGtUU3Le1RK3A//yJIx2vJ5hAD7IKRvvqLStgjS9
1UitWwua1UtWud2NY8rpxQjjfpNiRDnJKvGAHITDC4+VFzfL5SVRJfYHusiuZGZbJ7CeYpdHcXED
NiRbh86YfYxUXW8bsrzrtiDOZjEqOIYYrPacDZNo3dRWT5BK2c4hV12zG4FFvhZRc06bzov1XkiD
/VhXC2OVs08+pYkTBaXtostSBBh07jfE8GCtG/tsjSgHj0dTVB+K2kX3OVNTpBqOtQ6rdeya5ovj
5xXPWn6rYtUkhXmL2JqcYMMA0+au5KeqaVvVIgPCmMubWjXdpiBXHRhx6Z0GE0kjLb9q9Bp3Ys3I
w2HasY32z3wsm5AfHW3rkHrffeOiGrte9OrF8QcupS8eais5LbWlEWk7AZSGW+imu7qpvmTuuS/C
PXeag1cpZoq1sxmWXzFeRG10oQmOTAOPHTCCwURr0oquFhAuUbzhll0Pph2MiTIP+Vjfg2DZ4xha
KzHG+5lc09rRgOIcpkIk4SYGWd6A3FN0AmiTsV9Ec8ylvR/S+cJuUL9n02UixI/cd96Ubu0+wo9c
LwmHyWFIPytov1tDRemlp5Ls3mL+9eCUnBirJUEKLypz93+WSrBvZHS/oUg8ejPi2L7kCCy2C1T5
Xdkl3eM3x9z/NGbg/yWAAN0MwAAF1tH/Og1yjN/aLH4rP77Pg5j/+pt/0InVJyCR2BaV72OLAjj8
j0SIJz9JeN82HnuWH5gA/8yDOJ8sD6MeNR3SI07iYBX8Rx7E/OQrzLhk/2EdO67738qDKPNPpkOe
VUyf4ezzOzqADX40OwoS01TJzcsOzDok1XwQXGjEUGSMpcIZ2Oc5ofvcRbSpsgl2E0ryuox+gmhu
Mb+dW/lKTmBoJlpon1JBp3e2PdC8S28a+q2p4/6uYkxEWqCiocApMJ7VMwjxGKvPiV+oCAq70nvt
DzQQzo6npwu3Eu2p5jiWYBcaIpxqLijZM7pPxShlqrM2KfyQOwQvZ14tdO3MHIEWaW2mhg3ujj7g
RbJPICzKkdQZQK+nqbcXPh6XfTaG6d04OM2eUaFiKDqVLw45Cn89QE7/4M2ZKH0dYWc3ksODYkYK
X94I8cWy9w93OHdVujY0MYGVRhjFZOSOETOdRsEdAqJWsR8Pk6ukN7GCZ1RpFUGk6oWpXRbSZhaS
3CQG6GWh2qe47MXeZj5VEuq3Eyo4XU04k/G+8bkaYORjf5mTiyqs0remGBIQcgIfRFtVisZy5nlL
4OVzX5JfUC1ksRazJDm/0HuJdDW85lamCZcOffXFWgz5NcZVYZD3rWtW3GRGlWSeho/M78iZctgG
QlJP2d40LE1RqTHeprIt3mURszfMSCTCj2q08dI19mwE6BIsgDaP0BvDcsIaSluUsyh34xJB1Rvz
h4reWtRtcAlgYDHqVeuzPfCrWwsfwKNh5q+L6mlFGMjksdE95zyTpE0kyM6WM3yqyMYz4DX8k4mv
YWvW5RhYbdfc1LNR38Rj2+5lXzV3ceoJ2GsJ29gUo58OcizRG7ae9Zvo+ulKjClhxrnh+EadT3Y0
2t46J5Ow5Ux1F3SJN9LqPpfzrrebals55ryNoww3Hh0BlyIqffCdWfc01VXyjM+UrYFcaB3wCKm+
FGG/3JvVNN2UEal5u5/GdWb6+jo1PbpiM0xFKA7ZJcFGfzvws3YqRzsKTaSQrus9tt+loIqIX0kv
Lbo04sylMUTMS8M2PJqUjOytIqapGobczgFf9NSado1+Lh9daReA/CAedD5+i/E0kliUZ77pjIyk
szt/RLlJYt6pHoQXgMjrTk3YgpLtk/mxjsBDUXkwHWWPrS1Wy7huQNzNOKtb2KhUOiJEWWF0Yzrm
ciut0QuQ/KdrrnW5w6wJVi5mXvLVY+Jwy77UCtLBMe+pjVieqNh297k661ZUJ6txJSFmPeVxaT1T
6Vs/ZRxSvw5xmz4pZgAkDIa9zXHkOhVhAu8n692b2Sqa14Zh921Z2Oab9kOaC4mO+PdWMiBxxDl9
jClxZ0KcPFOAd5Kb3TD0WYJIutabXsjcrmqjsx8tq4mu7THPiMeOxW8ThfbXXivdz2lsdHCpnTAK
SMaNkFRVuJ9r5kJJUeUfqgtRmCoS92iGhjNfp6rE5+mLtP5qJdhrzxfCgwRC/TVWWtcQtUX+SLmG
up2L6UbBTRlXU0zUd60cU/M+kZc5GHvmq6SNxUAInkoQenkeXhHEGo4zz4i7kPq7LwVAJNDj1EA8
kwnL4ePyaN5L95zRTWUov2bgtOCKY+Ml6ppZOIX90rTWIAsR5nInumuLqHxzW5u7n6kr0idEmBvB
AddCGKLYvDW96cKBBmiuo+VsWKh7jhH4zZAdGA5bngCx7nINtO3cbCPbEj02B7s9LgLAStDmrWsG
pQkBAxOdA/VqjocbIgm5pqeWm6R28VOuvd7q7iIrx4dewYhYMXjr7tMUtcx1UcMEZtKTdPPwLspt
+zVE6T5iDQ8/G7q7F3UxXYBOgNdcQ564xcmaFftKo6CN3UJXZiij4ZBNOPuo55qtA94reeFmXn+Z
N1mM6YbqKqaRk3/lWw7orhSrMB9Ebi+32u0ivbeSvr8P6TJ6iHGGfrZSsFrjGKkTephAfko1nGrf
vcitsTgm2VBEa06rNaDtyb8uyhmJtZqcY5a2RstNNpbFKhc6MTZ917vG1ksa3GLa9ZtLbgXr0YXG
ehs1KcesfnSPMz3tbxMD2Tcjl8Ou8fHwrbSU7YfZU+1MiY31MJqU4S42UUGviT22o239jm9Jv1E7
t2TYupweoJlBOoKhom73LhYNbCx9jjJjll/Drmqz1Xm3sR/AHWIzlMYMpaxzDj1ddBepzuSWli8+
0RlACONXp9r2zJkOcTxmZMLpg1+3dAXWYGkz1lsPWuiVH/N4WTUk+kykg1G/EfOHMB6jPt3F/Tx8
lSOjv2szQyviurPpaYQ+UF6GiZ1uywEJu4XJwcredu1tWanCX3cVJjKEd2Wvs46ljl45NGp3dLOr
rptIw8dFdYwdhuaQS1LrA9pA2K0QbzT7fSkToOyz9rcW49VHV+XJE2t2lqzbpAbUoPxq/IynwTnl
uVfvfNfxaXxiWGSqdijXDP+jcp1Zw1lLChcsmGNXPnAGxi/V9F16WgjF26eYsOgzRxN3CianPSSd
i80Na2t1HDvdnJDyrLtJeNbRhma2DTtBQaLHCX/Br3SzlB0fiM9D99wo3z87NBDBDhuXZ6FpAMt7
oI3d4uWIxDTV+GFjX6hWWhj23c597q0Wja/Xku0QPAonPODoplQljpOrPGyy58o33Us2bI29C5ty
oOuKuoILfx68Vx8QAOd294XqGQBocKQDUmxczpG9BH5b2w/Mk7IDEKYc0risOxuNtFOPKSfhclNj
m9rFyCyvZST0k8WjEzML1voTPAJ/E/eLECsUiIkigDw+YiQYDvNsMFXqMXOGobGF4kzBjpGmuH8T
PX6e8eGmiE84WHKpslcPh3zP0EB6+zYU3hV4vdhipCzGL6HT+ZsBjEHLxmgj6kQytejeyqT29hp+
6GroM+dk9t6DDV5kp1EvTTXWzy1t2bsRh220UiNuziUdHbGjNYECiyqPcnCTo3huJjERzqSMNtHG
WGzIPCZ31uKP03EwHD9dV4hh0QY0n/0CbHr+rWbQkiC1JQDrdO7zVE+LsBv2SwdGdk0HC1UEEafo
NV8zcjuTFXyRQ52/Jo2r+RB9eNkzkRy1C1PLXC8xjd04krhTfab+QTUbxg0874dcROomSuzwIREp
HF+aneRhsPUA2aFiCFqLyvhSY+J96LNU7tN8ZumtonZLtMJe58koH7R9oPwj3S42/3tBTLUrhLjA
w2dvqPSBLexjLlVlXBxQtMu1mqfopvP6OjBc80oV9Cm5bJVXTSv0bQh1/SJbcnObYVOK173JGssI
x8L0ohqtAojv1hbWd3plTlN7EWFFyjYGDNViX8CWv8Q6yd6o5Tjz5DC1wO9DQFYG1lwa7onpQf80
RMCQAjnZ0ROyApICQ827GgJzGsiBXSJ+szLH4Wuglq4cy+fqhCRzpec5vkEzxDbhRPMseYhNy9Fr
x+alc033kYnkfOHSWEWOsBzdp45YyC0POxNAKSVor9zAYouXlw68wsBHyj1T3qtlii5r0D48UfsK
hvFSe0eLN/7Vd8cC5Z+UMy5x9puHEtNrwjim9EFyIF2CUSx6i5CY7IAF5rUseWrOphEMIGo48OcW
qMdFFHxLfRRh+Bg6SlrVuVmIIaRtvOGU7u5p+lgkdvrFCGrEumugX8NrhQsbU9M4l5fYrFFbIFyv
ccOwxZmZ+Fx7nZu/dhQj9FQDwkyjlj4WpEcaZiGBE9soyL4REtoCi8JoSJQxbuephoHKHeEXILos
/zlUAwedUYVk6DPFpbouhqaDxpXbRgYQc2aM7FKn13WGHe16V3gYuLQmCGJFySNxj2K+pQ9sHrY2
tTBfu9aOKgSWop23oaDDayUUk68gj7g4rnt55rvkeQVWxYNtwqKX+5q1ar7jnsFfLYtuIn7IHBZW
TsHAA3YdE/jTRKjzmceSc+cSIibdFfqncpz7+2nOuozd1PKsl0hRehCTRObxm/brllkfca/GRT/6
vyJ+/K9jLErhOUQn/2t55D7JsqT4Xhv546/8oYt4n3yLIQqHfFo5ieijf/xOyvC8T4IEkkXkSjEm
+04XAaHBVgWxBD3FISJJCvQfuoj6RFGgJci62me4BjH/n4iKf0VYNH+MCLuw7iS/lWXCDrAFwshP
0dkQmyPdNpa1t0cwgEurgdJWySWGyvpI2FFRh8llabOd29D7Mz0mOouO9CT7q0ZQdmACIgebPHrv
Ka4Njlu1uiuLYTpURt1fFmqKf78I37/Vbv2CuHGOR/8rmP/n3/eneKxDGr1PMKTu/STX+9k+z1JI
0a7cMiSGxl1rsbm89AsK9777Sn/xwvInvsKfX/ocdv4ujF67Npm2Ws77JGKCvEx9epVljbddmqnC
42+QzvCJjg5myzMFq8mEORgChF8EKGbROq0hbc8Ls26KJ4qzPwPvWRtfW741HKyaT8+V03Uuw+gy
7Af6fBWTfxy7Yt8tyTkhtWnz5DFLhVNwexPlwkLljS9ZgqgVoFc0QAUKED1wse5HKaKLrCNIleVT
sslrqzgWvqguEbqSy7Zc9CsjMMqMjLq6oImG43ixNNsWoK4o3+cxFkCpop3Rs8PGwTUSCzHFI41a
00GNpd7lMvcgw0UJ3YfDe9qyaWBlt4YXgEdih6rDelyVtPJEHH9ayjZ2lZU+Om4IM0HfAlZvD3CH
Yfu+2F3pn/o8LcCY+c+cdYyd49endrbpsYpd6wIXBSFUgEKMzGTgzdRaoHTtpK7z1eipt75gRDR+
g0nANpFjaKxAvF3DP3a2mL/6Dd2Lcm3Esj/W4zRtoURaQZgnV4ya5HZqxb6Nqofcno7hwtYkaoHo
1gI3YcRIvTm6ZIA5e4hmm1KTTNnQGSO5WCOxLrJZlmaeXfI0DopZVBveGEdUNuIHGiDFZ42kvnEj
mFXk8vp5HxfJrR584CucAPAWncLZZ1hMi8+2jqeHaUSJmoqpD6YC8at2B86iut4DFXkwy4mYbcum
uPX5TsiPxdc+M8oN01F2v7G9waVgbmjACSltcMWuT+LwYNu1t/asKt409DUS8AIt5w91EoyTXB6M
qTk2WUTWYxzXtBsdFtnCuo+TfJP0XM20HhhbXRsVZd0sVzIb5hONj4LO+B5HPvKCrUo2Zqw5HDp3
TeOxDnkPAvN451JkYOV8lo62nRU7rL0r8cpkxJnWpWK5RRrAmjbUAWoH1lnf2TMDVauCCkzXeSrL
DrOSnL0VrFJwpvmQUikLdDPMiQWWTUtHmpcC59Z3JtnSkxGRpXH1pBla6GFV1b06zVWd3aeSPcms
1G7S9n1WOVNA4NdY4xFgL095g+tN1mqOFfXNYIpwTIopmA1rZ+h259AMuaEH9m6wJmIfhX+KnOzQ
FN5d4qG1NvP0QEfHibzzuu9jCk/Mek/KLdC0B02UiubNtWpobFMkIeO49h4BoDIgVD6dPAPkLYuS
s6i9bDMroF/0oTNa3JSgNuLinb6IDdGyLIBuh1ZlMaDtpH3lz25MRBm0adrcJtpH4TOvGfAcU6bn
l6R1DCAd86xorGKIiser6n7D+efwuZfifuqYZVq5dWdga9miPkFA5AjwDokfPDmOQizVk/TfkJv4
b97WYVo6TIWgAmeO/HRwhkyNKUsgEMkEPV9PjSz3bZ2UBysjEV8P5NnbInNuvRBzBqBy7MmiGfbQ
YuKj5LkYYM97LJIEfdJnvD+T8Xtofeqwl94mUR8ZYqdjs9vnOSFxVGclLjAti4PfDO1dExbDjQYG
s08qS6Evp/yPKcVH1M+zVc9bceESKqmpdm8tkomOmz2g4vXHDOYpl6D9NMwLsBqUUZKnEbEcqwRv
DeXxysJyzRwZH2hvI69ZrU5XtActNO90ySFSuIlToxUEYCi0YN4V8rDrnJeiNI7U6PC8w6tXLF66
LwnhBJZyl32r1cLwrPqqIlwgfdLjlZTW2hjPHUl+8krE0N4gP90qyL1rkxzYduomhPQxHjd4FEzm
ilgQl9b5G9rLmfP18wpKBo91H3eLFKA5flzGvIo5JOF2c88drCi8ty2DiALKuJcr2slbZQQIftl9
v9T9PoPcfhWe764YI/5JpCHWZ02yDW7Ji5uk7W2mYz/I4pYnX0S+48pRCxkgUyRBOubRPgn7c3Pe
1G2YqfJgKMWxbYSH0z36WrpsXY2+q9ZFW9zyexgb2tRhWf9zK/aLdZtN1F++3fMG6LtVO7Vz/P1U
qe4NpwvvunaS63n2uqDw6NP565f6ccT0bYMATUpghOcfHEt+GjGZdJEUoGnMfTKor70iVD079mfp
6TJonfrlr19MnndmP+2Efni1M93juzdm4I0epyq19k4y3iyDI58ZYAwHeGQfZtI268bN+htgJ/T7
ccLa9wYWGMpzsNrBM6R/b9infJNMBUi7AG3ept3QH7ETyzUtywWMPr7CzKH/Iu5ThyNsVd4IOrYZ
GLfTmrZnfhqjpxXOuovpvFA35yXbZu3+6/f5q+/PcyzHVAQU2PT+hFgzDTs2jYxZc+VXt4QB3X1B
gGXArfM3L2Sef9LPH+j3r/TTVjjrJw6SViT3YzTAMgx9aNLdiMxJXR21ib+51jmL4dgmRjF2Chza
q79ho/wIZPl2AbHjN+G7MajkGjrfut99pVkB29dgHdm7jQNzmAwqAy8rY+vmGjfJaFg5x9w8+5vL
9ldv/IeX/WlPbfUVD7dKy71hOzwGWudDZSYrcwtsls5h41jO01VodADMzrscpSmG+esv+Ze/Al+y
73rkdTzb/+mhlAuILzVizF4mOFVR+YPE6S7xI+MEA11APhukgifYbzLL4KnfbP/6F/jFret///o/
PSXOSNzKLCPQIPnwWXbJdNWXoTwWDU4rmiUv/vrVzieFn6403illr0pAQ+TfP37PtNkzmqvIDziy
Sy9MnYG/68J+89ev8os754dX+ek9dVJI4FkV6dp+MrHyVubq3InSU4P+N1/fr17p/FYEUEdOq396
8NX+UGL4E/slhB6KqfA5d/0D9+3fvKNfXibfv9BPzzzOH0Mf5q3N3VmrL4mGY2sR18JjCI2YEpl7
RLgzMuO8PQZ1yFGg7v8WafjnI7MtwBedvQTYEzi7//jthfFESi4J5Z6wZL1fdDs+1JbNII2k076W
0yOOOoL0DFcoFJ/ZvkUxLpmGGkBVIHzhZtlAfGF1YHdRnrKoeHZbmd+QxX1KiQD9zYFZ/vliI7rp
Oz6U1PNv7Px0GRjmmGHxb/nVouFUzpgGzVgku2rJiQQay+Xku9OmHkh/wMdYRRosPodQ1GxokIHj
lNDHC5aOdiwJtmG1ASMfFDVnmg5v0IpDxNe61hFuyIItnLRP6NLElwvcvuPsuWtycFgploq9VR3i
oc2/WIkwV7NuirVwR/ui67rftzj/0y6d/3VCFdkPUL2SL/ifG6Rz5fkfbeJXb8WX//j3yy9R/Ja/
zeyi/lUy/q+/+Lti5VufFFNCea4UZ4+Ix+2fipX/yTMx47gIRuqPP/kH29X9JFxe3WdL6UrFavYv
zcqhglyQIbEcBk6ccNR/R7Oy5I/rpPKEK2ykYiCvmIZ8Zf/0/BwwCnpOodw9yB87At6fudPKk9CT
cPQk8QcVGPmxd6epPjjSHQg5zACBXA0uehv5oXwEFlUc6Jd00Xo5nE6rIjHQih3dT82uQCx4hCdB
iE5rcV0YhtPfEJdx5VoB/8GBbtspVomqohpKzB5WU4Hr8TB31E2A+IqjjRf20UNHFYMg4JT3zKpN
44Gu5ubkDQqVxOZEUaaevzEJJ5Da8u7Egvke2eaK4Btc7qxucHx2Y/tOs2+NoUjiuScEEUUXsEJ8
8PvwrS+cmEDu2dLLzTjk3s5eMKSqAfBSYyXWPnRIQEbOcnZAztQSYrtbwzCYwOPls3urY+k/eJXv
7bSZ6cvay/11OtNYju1TbHDE8CBg1L62YneN29yqn8bK00TCqqlWjN2qO9M3EBh0nczFprJ4AF1Y
FlbLo6ZpHZwDM4l1VFZ2dNEkfap38MJJHFC3FFHVUjYTzRYAfeogMsADMG1K+3EbmTO+jHz0DfN2
IX0+X7eR55a3VN4DH8BEGFJXx2EsPHCiNpfDIKjtOoYjnqygSkNz3AwDjUZbSafey8gYgtNogQ9m
a5It8lZ5bBErIC2Ac1uyuxu2IW6IHYUI8YeokJjWRV34OyAp5pMTEs4JIhFFsD+7r3QQngYDmY1t
oHWB9o+bWApjb0yocMpF64tFeAPrlgQH8U/8RhPwDknQG9hrcmsmmdi6gtLnKg/TadU4Qu+IRHcf
shjVHnt/nOyScUlMmBeUYGdu7T04ipQAqLvKnQOadr37nOn/hQ5xPtj4gIKk6/P7PpubYMBGzKm0
jHcZAJSjUFhWz7UcG5F4x6Gd/c28mMtDSO80o/HKObpuihUmNXZJaYrriANwVnXduWE2warsdtf0
aYdbtiYRcqPEycmkEbsoK6vCz0r/SgSsXucX571swM9qETHy4qIlJ5ytgMglD1ytwwkXvJmu2ULP
OJv9JD3MUQY7pgqHoBhMl40dxoaIUMy174XjK2M+A6ZGFaKbwNmdKTOEYStWi6F10FJ6sQJI9zQl
CbiQGVVR00GC4Ls8FemYfKDY6E3rqfqekE5HkHBI+dzTeeciRL4qGggOubEMl9AjvlTDUKMd473Z
eFPISfc8RIS7aGQvNa63e13NZsbBPFOf67k3u40gy3/QOeAvqDVDQBRDblzG8htnbIataNpmt/hK
r9uJuFIBG2+bUzy2ttso38N2OlKXhYuf/N+l64iBRrYOt0cX5TcRzpZjx2n/SM+5fx3JJnyz9Rj2
v+/z//+y+DDXrGxvH0VSnq/4Nnnvf1jdbFjkf7Um7pPi7Z1V8d9u2rePL138i7/8+7qo/E+CYRCU
UaY5Z4vrP9dF5VCjZTOsEULaLHDnP/ljXZTyk+U4GBwVSHLL+rY7/mOWQ4+WVMr1fIkgw46SjfN/
Y5bD+vzDuYJ5kLJwrDJkYqWVJnvOH3emFpC+Wnu9tyvDkI9KdaT0Oh8Btzbm5t3uJbFBEftPunG8
nXueQqC39oHSaXiw3AYYG9w1nKOdFVRWf82gu9jZRZ9+zttMbWmbqy0Sh1nzzii7ZvvadJRRz9GV
QfLvjg5PY1sNZRRTod23H+BkoWPEnbqrDYcq9VhQ7xvmVYHrwnbj7WgU29kfLmkUzk8YlM1g0G5/
aJbo4LpECAgyiG1S+9dioMa9BvP14kaN/5EZ5NvJOM3hrjXCYStL4LDrnLK9j7OT4PNAGfBx6VJi
se7U74gqxHvYtPNutgRWxKkhyGjll4RivWvMPHozW2kFiVKYQHWGMwLDpv2FztsbDZGMIPAUQ+iU
7rwL8xLpYQmT+nFcquoLnif3kqy7hL02PCyd8J8t+HA3UvEQXFnOmPCpViHVFUlFIhcgFFhXugrx
FMw8r3beTJiGwXv20g2zOEq4B8cys97BawG1hHt1kcRkCxLldfc5+ayDnDsFPxpb2irKVPJbrCbj
Gd+id2qSzr6IsPP+Vk90RqymzjG+jszKLgsaXF6QiYpLvnDeJ6ATdNySAKawrzTtZ2UAvbdaz0yY
N7hSvk52VgbU1iBx5yNmsCZj0tJSE6ELTADEyryBIi3Eay54mw/KKO/twkq3+RL6QewN4mXE+EU+
Nm/2vkPcox4y89wy1u1rrISBJiW28yIk3DQirzoSa6FMWsuUiHL45NEoFDhkFR9sgRdw7PDX9Uss
X+mIJv5ogfgYbVVcJ2eX9Lr1Yo11isW2tXQRqLDb6Awxn8BNuymc+IvFR8LRsKydK9Mc08PAkIIv
HZprL4oLXS3+h1Pb0eM0mmR6tSye5snKjx6lu8DIygYW2+Q3FHwBNNe1sG67RuIiod+YnvrKZtJn
E4v86Ozu2rdbbFBgH7dDnVpXi5yLbYrL+Sqe8oEIsMVVm+AIfqT30mqCiVLJrVHwmfmpCWqmLYfP
C1mzkwFV+46KIHVacP9sZ407UU7pR2N3KxcO1q5mnvGU1Zgm6bHBtEiU12nnNNBORgiJHphH6Hb+
Vcy769eOMS4bQRFuDKcsja76SkQ3ciHI0cdSxtxlC1CKUqNud1KPK9wb5HvmFBJL4ZTv3pJ1PsE3
o0E/be0t7BtvAyIDwbF678zpiL8bl7jQAaZJY9tCmixGJHqvaYlBE9mIGyNAF7ZgiacuO6/Y/TuK
8U9C6LenHm5wHvK4cwkSeDx6v1fNQpWixHU8DpiPWfGKWNzC9KwmKMzlWNYXNBqd86zWRnblSz7l
OP6rhiZUezGxWUVhOZyoANZfQ+TToIzL/OQT7CmodDayiyqS5UsF133bKVCvGxz6drHp+xbEFLEh
rMff7ufs270tsZrYh5L7wj1gipNH7cxMcvUoQd8MOEs+f7dM3fyuGP0brIWbKin77j/+XZ2rNL5T
kmBES8u3WXkkDD6XxeenJ/5s9DYRmEjsTCe6J4CKxJDJe/g9n/HPpyuzyoa1o6IGi92gsHTyHW+9
cUKsb9qaAa0ROa25cRZiBrR7hRONPQ4brTQfv8BZiR4IC84HrE97TiywCBl1s3luP3tdv61idjxO
2R0ZKWHMzJL3hkE43fVmcTOBgjjQD9mAOsqHo2928dFqisJG2oNhAXhSHsoRX/JaZKJna5pZ61BT
Nzy6I9kqfypuBqX9z5ywys/zKMYtCbryN6uQwxX+p+Yqj1qIqfoMWei1ekHADA9uIcObuUjGO/5T
bdtlSF7ghcRHECX4//wee2nhOjtNRHxXuRCGLU/PB4CA4NBwdofQDqzontRdiotziTqaV2NN32IW
bzPbN3etdqjiZpHd5AxDcfLxjNy0Xdg+9ejXeLH9+glnth80NDp9daG9wKzJstPAqApQg5Oe6Kgi
yjmAzHkyese69hfPuJedtvbk+nDSLZ6ovgB5mp5co8JDphDd47Bpb7zMGY8CVOlemnZ8ETai3XMm
OxStF/Rj7AWqavt1450T+Gowp1tLa307nfNyoz67JOPcxN1oU0KZ00Yc0HnY3g8gpdmaL5gGKtP6
za5l+FCFduUzZn1E9dd4sxZH4yYCGfj5P9k7k+XGjS4Lv0q/ABwYEpnAljNFSqLmkjYIlaqEGUjM
w9P3h7K72y677fg7ohcd0TtHWCySIJCZ995zvoOdbrieHbs9z3UbQWRrxlNBbXbOPZS15ATFZ+VO
cPpq2vjwL5KJgzwu0rVZ9/BsMcbdNsYA+k4NUPVGKwRIk8tsw6QKXiMszq3fz+mlG6LymnzbxXhe
kD0VOvpqlMq/i5ZVBKM5xxV1NDBU1nAMJjt6yMhQqoYsZzyH1aPB3JYAClsnbBPriaWqWdasEH04
wEjWMSe0ort8NoxPWKDFR7+sdRk2gHKo7ZXo43ZVNJm7p1piYex+LJKsFGLTLStnvayhMEJYZzBj
zywEkdmuUXL5N9Oy8o7LGlzbqAmKYUkOhr4/fSmC3tvZw8SKbmHj6FVVnmagAW8u/f4NAcGKLLLa
3uU/NoZk2SPUsltYGVxgQJDsIVWIzuOgyMNj2PxjCzJ9DazcN6YWkphVqUda8+4t/QARbMZlXyMi
0IE1BfLO3Tcm2lCjx1zSLPtkVyfzJvmxgxY69L4OOnHZKrinGZTasT7pLO9ZQ9u8OpTEEu8Dsn9j
0JvLlj6bDT/shLANoHnc76y8UujnG34i9ePUMC0HCIOTxLwcKcDdc7hI5ZBAlVHuJlrOHSbHx8Cn
LSrzqMVXlXneNjC68ZRnDB6olsZj4CIxbwvAM5qjz6b38uSYdJ2Nyd2LBOI+H0zNWEI+I9gqvXbt
JjnikmmvkzC3X6JSipu2cb37YrIwYNZN1OzsqPa/I2eyL6gE3I8+6/pL3Ezxk9EliOMdNHSU+506
tjgW0BvUxrjJSacjW8sfvFUcR86NNJzuUBsYXTjTTYjYhS1rHL62e8knHV1pIFA3LYIGBCuDqr+O
df/FlFpvfM9Ycvwc093lgWftPULDHlXIF0+oGo4AXXFQR5DCHkPfowWiGb1v8boaF3dGFKvkKB7y
pJQXWlAu4qBFIZzH5aMGKBCvcJJlR8eIk5Y+QVQUjGuZRIeW7hjfj0lzLXVBB4w2yYGDpfl19Ofu
A4wbJTDmYLhFEw/aDqWxa66kRPbJMJfLOMGA3acJV5yJn4xBjWji9WrPuPKrHtRCMo5X6HahZAsS
0za6ApAQM8Z/tUChz2E7PsKczQnRNjL6DEF8FcGrGrlonrwDTJq+Mc4JNgirXWdFw6n9GhKd96Y7
vPGmEhmM+DTY8ydfTagNWz6Ry/iikCdb+wupX7UZW7kZ3xl0yVaFky1OfbpuzWqYpLjEfI0gTWjK
yQTpu4bRk8zfTebM46otY8LHOAAgPTWTEgNDW4EMt80vZZMKcApNd+068cB1UN12gCDAi9UMXAe7
CtIErwI65xERSw2wynx55ZviMx/8r+BCHdDMaGLJCSjJ94ZIz9OOeI6OXxXeR7kz7Vl5OFgHqfmc
jPEGT27+jNfJ/iIqqzv0XaZfBtdNXlDW199TnveNj0f90LfEOPnmMy4SiSIhceXRFeW1DdclIbCT
Q/8Ih3oc5Tb12Ct4rBbZntmPQMXB50hic7TQR/S07LtB6l4RYegc5lYnW6t2p1fwaxqQCfbqcTCA
KkQy+LDrWOxD6UH8VOVyrJ+LkYPy2M1rMG9wUKNg74vK2EkL0GBc5/GJnko4ncg0Ke+l0duPEfUL
Xj8inL73KbnHaydtvHMB+BEZc+gkD4XGo7KaB9hlSZ7mO5UITcIrybV40CCSG4ErAT1iiuFf7eN3
dN9A+ZWuESsTCJB4aBDHPguOQ+clp8Ia2rXHF52QyRjZVlCO3KYSnXIBmnc7+Fmz18E8Ujg5zqqC
5nocYbLtGTgCjTMzhdUtJ8QcOZh/DWJ02rnaKXeO1am3qIqtvd3HUJM8I+1W9FF5auvJhINeREm7
0mVzTLLmlTDi61mZnwXKjy2QBOu97Q11S0A126N+bLChI5CK2ubeDusp3w9xPH9LiNBd4dJ/ztuC
Q3XH3g6v19oMfT3sPbNqUCo5497sJGxSEpuf23AEahqQub6p6r5mSerbTUin9k6rILfJD/C5v7PC
ax9pT8yPUneAllKTZp+l3LOZRsQkl3znS1aU9nVCyb4yglBek5hr33VD3EJXaWuv2KNgNB5ctuqL
YxXDJ4z1oFmoKHoEvBfOkbw15CQOdZxyLDKK65wwQ2FWgM0agEAAoZO9jLuKVcSmxhgbY5O73yaM
GAmQtYLoV2PKivXgA+jR8NkBRsw3HAhPrd3fLN0yL30r53viOUgzbUknKOzkM3FDBJg5LLVam3fK
DapX7i82LxRKt8OsoPhHhf5i9j3xp3FGFwLYm1HvGVB0r7PbDE8y951XoBHui0wkRByzEceGVNAr
doIIOT3URS8iDKELsnxbGJD6kyQ8tjWyB1/FAPTGLrqLEy3vJzOY3lw4XyuiB/IjEnfQpgnwT1Wk
bnbwGKrP7Kdq/ELKIUOxorScdWna0QGPS37M4qnaCsYT5GWDJbbxGO5do5z3U6YEFv4yOYjSpZCN
OMlOGbCdPrbGA2dIEIuiRNu7qh26z24GHU1UC7gr68Q2ta3oCRRWvO/t1kWm11UHT9T+AdZFhIE2
niBpL4w0PgNGlDCftz20+C+I75fA6JH4qSLO78OCRRTgjzHv+mXD9WRE9rCVPmXGpK9SAUQkDTQH
sjSadwxFqflB7zz6NfqqudMw3lkzoFxNmd66MeYh1Fq0WNdkbPEEpoXJgo3yuMejyZPFRynXrZ/z
ir7N2/UEXPl5KgBPGmR7f+Arcg5RygpBMhem1pYhg9HF+QERM5+5wO+HITXBVluymg1DNcD4cjcT
oXkn2wqCa8TLi6b1q0tjJknNY1jyiig4gbNG+pWOzrYroy9t7ok1Vkdzm7nzdEWHj8CG2r+nLl/b
PqzW1M5B/0skP9dRarfrfOgVdBtj3sajG1EmgbFZ1V6anSLk5VyCwDoOdWl9m7se+KfdFJ8RHmlU
i1589JzJIBAkAJ/rBISCF0WSEvhSpq9EGQBqqHCn3guj968LDtoXapX2JGK3O5qYprBmycZ5TgzR
Y7aI9WsuHQi0OitPibFkRyidHPSA6MpEXbEXfV2dC6doDg0GVD0Wa3NMmNbawp/JgE6sPU+Y89RS
rl1aI4kgrKl6G+f0PiLS3i0zhBq1RBrY7tXYHCaP69kV/mtTdesE5969XfQ+eaAqeWbcIY4Vw7iz
ihsGZzyCR3R7F1yrqDT/vha2/6oUdpFdgScx0cf/LCFB1GYHAXL5vUF+19YVCbDMsEcNULkAqHDg
Uf862Rg+hrIowK+Rpltu0GUad9mQTl/Be+h6mwk32mIsnIlSXfqV9HQc0I6+CWrcijCukGmzdDhN
2TFI90YahBMc2yug8YLcISpE43+na/9/CTnx65ia5vV/P6a+eQ+ZUv8EnPjP1/02pQYesUiGfu0A
wY5ALvWrr8JfeBMEg9AFN+FH0Bn6z268LTFj0O5FOgT1Av8Et9F/OCtccktNiRNimXxzZP/XptT+
Tzfkou9xHCIZfdsnJpfW/B/7UrMHxIDqMj9OMXLUQr2HCnIJzv/8JsLFd46zjkwoI0cvksoN1Zex
r8wxex+Fq6451Fgc6Lw9pzxO83q4FA7FIJntT6HIiRaufTUig1MxxVW0HlLRAyPHGgBRieh4IiAf
GmhF68SHHkDB9Jr0zdpu5PXUzFSFbryNFNtY2wd3HcdhCeGBlAgiouH7P41R4O3qnkMmTcAzB1b5
rnAJ7PvU3zalLUlN8udrEo3zdTuArM/gna56Tqid4Q27ATIaWVIYI0gpguHXEQ8AizJZjZba4H8D
auRjAojEgV/w20AjeND5mWkgtGr7Ps7dU1lrNvoO4Expf7pWPF6Rk0TrvYbBuqeKe4i5treIActd
Pxt6P6r4CcE/q/Fw7lwupt9q55xMfOXYSW/gZ+yXxZUI+uracYl6o82Skwrffmh74qDxjLkcJWMF
uSCqlkyeKLuhtfYsXVjdVceqgMEiFxUu1+KzBQe18cGb46LcjB6pjlPyCEqQgTSbaK0GHPZar5CJ
hgDEk4MxdXeAI/ptiL33CdO6e3RUjuLGHknTKbeTJoVkVKQ/5WUYPRR5fR85/dcl9HkVNiJj3AjO
J2Fucus6dbJiP6JXF3CQm0IAf17LUSMj3O1oI0t8JHzh3kkrwRDGER2xDNH0YGakB62AMOg9C3p4
O0oMMu6TYyaMRxJZXIYaXEbb99ehKW6jBJF8Kl/CbLrJEj2t226EiD1gd6ybIzhYmGrhyxAO9Qlr
yeROpMl0zU1dt59p8WBWGQYK5TsHth04mrifty34eGgRZl+xk3EiXQM9pLtgVze09s5oTDGLKjIo
PA+DNqfxxnwK8mc70yMBGrlBq3x57+RYgWaqM20+2dAz1t7UuyAHVnYD5Ksgh9MbrH2F4qJwrXcA
0zHdFv8zS5jBpzOH0RytdnVxMJH3ZAuVqX1fz5H12tPJBQVcxlvRkYNA4tOO6RmoAXtSRE7mNWGB
keNerGEm4gty1h7GrvuhOWWd2jqN8SZOrrwAjNdXTtDAjRK19+4CgsVqUYQnAyXNsbDq7pglAfnv
GJt7MkWa+EwTyTzST8IVpGrkIgopBLdqc3RKc3rF4UffpBrKSySd/qhUkb2lU6AeZsH0PzPTdE1N
L0+RLP2T9mO5s+Qw7FrLCo+dMY/04UX+OLfx+OjpvLtKYAw84U8EkdXbcPBr7RMAHXBoqayovxGD
v/BjhT6nvTfcWV3h3ADD6K7IhbJerSTrtiosx91YgjGoMpkea4jvt3NdRt8dMaIPaPKp/qap33Ae
91z1mfrhmvptOLtB1p4ymh5wMPvevHjeaN4PTl/dWIFtETJbRk+oE/xr8Cj1mVtFnR2DsFWAOYDY
YI5b62UessenlN34fEEkye10l2R41w6/22X+oqPu/OiY/5c202N8wGzXUewCxI1Sb/wkhk3TVpVO
wxDSC8PsRhPI1B+Tpm9uMDsUmy7AIKItVI6TDfUT6SZ+D3pTW3c0wq1ouyfZN8aOrHKCPVSCT6wl
9WwDdhXxR4R5NhJx+NpiQsKQXYbuhbi/5MQs6kYFHOLjyp8vWnKigtGdXU/hgoaroidi1okgELhk
mrHP173VuKtoch9RRETQsob8FsMNDZ9h6oJHPQy4qHwXQui6UXPFwbXgH4Y9HPlwUJSeSM0izGXd
YAmnnMzDKNmST1y+GhYFLtbbsGQkYBVPDjDM18YOrwizYVhle/edWtBhgHgmRy42WRKCyIjaxGYm
93FenA3YgYcpt+jSdc69HtszjJuHgJbwWpdgNXoYEgb+kvVMN2ibIopZOQa9BEbQEwes/NTMoj8F
dcmJkcc/jid3B7tnNxSYRhJ0LEz1iNioBhl+RL07wOAbxM4IF58aeKmbckrANfjA5VSUJveaCF3m
j2FOcNdAsk6QcysB46HeQGN2HrSrSF9NmnPsGj5UATN6AhRqn8NYVjcpidb3pSXNS5Q6trX24749
8VuP50LL+HowW//a4qg9AFOPmm8YPWhLOMqJvucZGL2xDsZdvTwp0/LMeMvTQzZEhyGNJyrjPHwV
BcTbkyAw3ukqJhnZLNif4a3e6IGtspB1815NOeiizhfNLl2eYH95lvGTjI+BSotH6o3xmrFYeNQ9
o51qWQdIevFP0zzIkxYlOP2qWO6DynvwljUkXlaTeVlXGO2Va7GsNe6y6lCc6s28rESkyNQHpF3m
MfWAFsL7Ycka2zp/AZmHwyDN/aNuB+rrtsN+00rvPcns6aQDQ1+BVVGXiJSTdu3z1ycOIPIDZQSj
STgLO6Cp8sJfG7ddxSjEKiexjaEjmyCXycGlL1V746qZfU4oqW/xtcl3yJZpukqGHbLbkSA6ug75
2godMlByEeX9TaESbw2shUymWfl0Jmx/dP2DhbksuSrmJtQvtq+Y1tpuqtsFo5m2BzgCfXi2YRCM
q7Khzlp1LZz7rZMViJVo7BEvY4JvEpi2oync+NNI6l4+u9BoRteFZV4LmS9u8aTce1XrQFXu7Wsv
HN270VDWLvMdbC+JsO4bfDwpo7EgN/eVjGiL49yCrBQkJegrmmJfnR7R2MbzsWLQIZojYwvqlxNQ
n8w4rRTL5pc5y2BGzVFhsbZAkPW5xazKOtdOa9/TJeS6FBU5KhNdhCQZtmYzacz1BVAnz8So2T61
/VnOTrUNAxNMi6+vRYwPzm6NYM0ZlVFDDUXfVF2+srAmrtBc0AAvNd4/oYYVeKk3QKvDbkqGD6tw
KojeztrzJ/sSmNVwU7Y8o7Kpv8bqK+FU/tWEGJD1BmYD4ZnD2SkrAezKRJdV3jFPu09K5WPY8y5W
QG5QhKATamFNuiVoxBPyTbhKZcAcNnauaLfdM8tkz4st50y0BlEes/7IaEosvxGkoEk7qzoaLmzn
T1At409XDNGx6XDLwRSeT0lKl2kkZOMZcP+0Saxq+vRLaxnHhaSBrZu6NSHD+jHm/R97yv/rrv5J
dyUpxX+3/f5Ji3x6rwv0yen7HwRXv77qN8GV98viJ/BQ+lLLEa5ODfVriafELyaTbwYDTL053S7V
12+CK8v7BR+7b6IR5gMotSjifyvxLOsXCjtUAvwfwX/If8k8vwgL/uuowMCdrGaFpNkhPVnS7f9J
eCAb19Cq9dstkKEDWLVbGaSflAi7HoOMEbR3fZl+VjRQ/6HV4amfSksh8cng2+ROJbmM70Ll+3vJ
Qxi5DsAq9hIJD/R7IJS56lAlw+N3e85/Nk18wDN8A0CFsTHfY65hfk8SxExEVaM/kRQgPUqZBFO+
pNDdSm+iW2QLm701nhaUXwgXZsUS4l1EVgGX6MB87hw3IHG1JtVylr26MnBb7EKYbDNFEOgRuuEI
ZmR9O4RkWkjH+Uigym2IztglvmOtgY2T2lkV9xOO7lUbmouA0oR3gcJTjHVy74yWhCM29s6NVRrW
JQut9EbhjF16rQlAWi9ZxmO8XzCNzX50ZH6Ho2Gb6uTM5L25TjWXguGWNVNkmBMniDTmxcMEJJb4
rf7DkYZ4alUzNuums8LbmLHCmVGjSxYaA2ubLvVCFCC4hY5pglYoCZ9j8g3vpduPzAQi5MpklVnE
yN1NLGiboGzpFtIUw7BVC2OHlsFBBdEb3u1gNO1nMLIXgf32EcSESet/a/UA2HEaJFGFtW9SuBLf
tgpt7rFNoJ3ovikrqIyFmAhGy8AQ1as8nZYBgBedaHiAxSaz6myjx107hitvxpjS0IxnQt+QNbsX
RhpqLUVjnuMfAyFafJcxHMJuPUPugVxYwfclwBmGgyZCd1+Kbjz3idfuiEUo1gsmepfE7XwqkJI9
IU5X3brSjRFulOOWzzZ0oQ17hkcYE1Je0G5e75eX0HbKZBWJFDY8EoM22PQFFg/RaNTqtI2p9k0z
hucXLWrdzCaSkhlO2DI9J+2ASg/U8i1/N1QcVAvru2tgUdiGkMa2vdv6VEEDsSBmj2Jl3ZEct3ZJ
bT52TU/Uq1eUyOnC3izTVUPTh5js5TBThtp9dieyIbZzMjFolD0DDvC0CME5W5HpU3IYPgZ5o8jd
KV19zTirfWO4wI2UVuYXMmei70Gr9AdXJr5v0sK/ValL97CaMqL4YtFFX0TBxJV8ijjkeFc4oLxM
q78g9+JdZjtCsRGkPm1sOvlvAwmoV5Kae1wHUPpo6PdYKjeRY01bYpFtTJjZ9GCXs3Nf0MVGLGfZ
LaN6GD75auE1fRAGLdntQoQUfWD5b41XRi+wvzJvK7y6JCwyS8ls9kP53Lf4cxTWg3HbMdt+z6mm
nobQB0tk4/Z+r3CRY+dE8byxrBo0gCRlzYSHX1nfjSa2HqJW589EgwV3cnTUl6IDDkdUM2MRBHYO
CaFBgvRCYDDS266AgF7KSmwbRJSMTUlFZwKJ5osevUMLaBejs0m47hmx5nJU9iqMpJyRhdrengqU
QBgY2BY9f3xxE4jGfh9hK75nLlAx4w/N7DQDo7OW2ChWkZSoqoH522DcThrnxdpKvfQ5mQwG76ZJ
us9aFqr8MM0a6qR0nfwA2gwtIUm5amIltNWxo6booYYucZU68ZKLkWfRxW6V2zEqcbGJz8wS72II
lM/8pHA7tMwR93tabgMh64cQ3tdGaDEwOHbzO6bJyXbWwNJgN4zVF6dhN2Ex44A9oCV+YzHnFyXV
zqAZoyziYkGZGwSB9yFFSwiVkOgayosZW8HQor0Z+aQGAWpdKAHL8gl9BIZ9wbLQByAiEY3M/c3Q
yuE5M1F0rGdi8poVMQLEdGBds1/jtundNW5Wl3AbyyhIApjMhDmf3V0M19NP3jSSc9LQBUB/QaLP
l4EwmG9VOBNYhBqOJR3FosFkjI4B8b1ZNKM89eopPFqBQeNOObTXIDeZ0QV1zEDqpARvUfYyjPZN
5rScAQ2oAKuJIEF9XZd5zECxSoz3IahHDp1hUDfbwi6CXVMQsbEaGsZdwqkSXC16hg0aOIUhQCsm
NREE5A6QP1kaeYpYB8oEAXETcInJbfgTMDrRaqy97lzjJOUl3nzlJ71ea9sLrrmT6jdFWO21kdbq
GRZ+ftUTdXOaE5OF2IQpdZDRxA6aFt30knvMCMm6jYcb0aZesc1TVuoZFzD0bVi31cpxhfpWFlI+
jKmNsBOcJL1XaN7Eynaq/py6PrqrpaOjdQyEYNub/nDj5YO144v2aycs85eCCoT8Xa+M12BU8lUo
F2eMLOZTbhckjaiuOaH7QAbCJ3+f4c0gjoKWoUzwhLMl7a9h4GY3IuiaYdsBHl/0JUtH2KauNQ8B
LGOAAngj381wQgvRSawiZ7wk1FOe7KMX02H2ixM+i9FHjCNjYW3x3cYgmr4wi5aPLL/6AnVS7kNz
nF5L9uezBBdB941ezCugHx8ZSkNwMuMSCQ+3TxSsUruz6Dc0U0qNJA2zfhs6LFRCGf1NMAb2xVQN
Cb/TwHgVK8uTy4P0gcU5ABZGQB89pmxvkwiiEW0QfkTPDzn5TGqJXrtVQ1fOJ0mCNmQj7buYPtxD
WVodTiA7zc4VsQevbhdFnzO2x4ieQkVchEV2GxcuiXBZMdccbXGcR0HwbxnCEJ4sLd/ZXeI7aVnR
yLJFsuu4Qug4Z5uy1UZrYndK1S1D3rJa0/8VIwz5gtBEw6kFuGga+aOTNTwEWGSYbkMxtv3gpuzL
F0InEUrRC9gwSS7Xcd5M0Y6DAc2ZrjVUf5oiIYkDcJAaVpObMRYNYEcChCHiGTTr3sqDqd522nAI
eLO9j8punVMRSY/up7LCGgax3xyIkpTnTlivlQyqJ6aY4quXMqg8KJPbbOvbDRHWls0hgTw11X56
0khgJ3aKgpdJIgY0R4YginsHVBmKUkIGo5HOCFDAjrnqMJAADMx+6dKbHopIghtHozx1vRAvQ1tx
R+XQHzgIZYJNn1iNQ52ZDU1dII/4gXAgf9YpYWms01n4Ja4LUpWMToy3Mo6xG5j4zrZRPGE2UgTS
OOd0zKcrBPbG1yCuO28Vu4JeUVp75lq7afvmVP3iE+ti4y00ZCnXTjMl7+PgsAr4dg7+0CLx9KFA
CCIOYa85m+CYG56GlL7NGvWa0xxh0DqU3yHVJ9jnZAqvJzzT92aRzd4ug3wNcg2KS01+PfGvrbTV
tzywCS6j4750JTZ1pf2101py5/YiehlGoDYuPX80kAGmgZT42lVvTjVxoJjE1sgraB20lvExWaF+
Nd01YG9UDwJsS4IUdBW2Xr4TAJ1Ilkbf1TGRXI86tG+7xCP1S7rRJncQ5gHoReY1FofQd8eEFCJP
3CUafMaQFygNmzrbKj8QbLk9itjAZVSpiGFBKJF/+LNtvXAnOp9D3MCU6mNGHzWV+EV1dX1OcDfj
OEsydT9bU4x8qPWjB2Oy8msIpFw/HornEUIjUx/HmYu91yTTSyC85pEKmsxU5hvjtOlkyPzKYrbx
SWRI9yEiwnMApDZRvi4dvE/rnOrm0/GwOKJ5iKJH9DolWyycdXJnHLQ7GOISPGDchQTEDYi5LdhR
n7FBvJSeq/xhmFlUVroIdLchb0TFRMiERJIFbTvah044IxTndJyuBDcih14kjdQB7LTIXsDzuoJA
DLaxospuck7z+SYFnmlCbsrqbWjJ+EGnFU2HaSaBTpFkSBj0TJOpwsMxIBwGYZM4IBqrDo5OVkgS
mLOgZ7+fYjqCKpI+Wtp+EfQEEydBNsqsgi7VM0sqrcUMHpIHB78WZnazMcTEpVWifLLaPN/p2Ezl
tku1eRrnESBMCyULQxwKpRdAp35DAncXfU8VKmhISAGnIuaIHBFpVoYtZgq7fDY7J3scEH5+swlA
PgCQxA3bxTyjBZVxCdOqTt4T0srMHWWseztMKWoQxygyOsWhaZ38kM4hPk1/gjRWeJ4DZSsQLA7C
AsQtyrK6q70hQXOQcxuSuEZEp+wMypxG1ObFVlBkTplXY+qcamE+qqJ2VoORfQcsPapVSpgTzW2L
vveqzxlLHVwZWleSETqdpJ4jZNQOPpP13DOvoCVzwwU8+UdgJPWlIXgD4UsqgCcKlzIPSTtQdSa+
x8ELSc42yuSbVMjnaMjG1okq2b0jbRraMZOnoSqPuW3PN2OUknYNmr+l+NqWzkBmhECpWBJ7ZVuh
zTBV3jY8ALexEXhEabaawHHYXCUShA2TgQYDhWrTLWQhCouZzGi4SB1itMHcpU4d74vKKu4G0eao
Q+ty01qcGsFvTnXA20wiO5eFFW8NunkryKQcLmiS3jq+y0yrzA4dGxs65oHRYTpc6Aebz2aR2yA4
oUlv8rp5QVpMzmdsy/uePIYtqGTkasV4qyIDGJbtdpJ489E/Eo0HH3XQdoj8yvDNDdzd+ISGh2FN
HXtYROqsuCFA17+aUZuJdRn4KJhYvL97jdpXntl8EjCfXsKesJG2R+9RGr13pSLb+WIj+/zmsYGu
FReoq7OSPxEdQWQ6DkiC5V9MjcuMaVwRuKOJ3OoxLj9iyzXxbgeeJgVvshhdRmCJsWOscP/qA2Li
/kmrKn0LOnMe1rY5YWnqVNG8MeDMF8Zm3NsM69A67uskHXAiC2aqbSxCwMaQNb8ZVlufJyviZNlH
PhtYMlqMiS09pcMu6zlNppiw72gzw6CyPGycHcNIahxTE+DUkSGIJ9zipLBJlz1Te+DtCB31WKi8
wRnSDWek5gplLctOy0d7baUgK2vsEFVtxtHgpujR18M2yykTcBE7RMDbZYMFWauOVEO8a/KtVYP1
XbvwwDbC9tNp4zWef/R7f/QPeUUE3xptIYfowcnkdy8kMCmmk3Nqhma4mZJxJtDQjDiYdlaC5CUX
LVmscPfIRxfloe0c5160JtTf0DNZEgOPEEa4q+G01rpBMAuqYXIJJMDWtk6yorcxVNnmuau1PmQM
hZe8ywiuaWkwL8fy4rX7/++PLrrO6R/6o5g+LRgJ/70I5uV70/7b6nuBFOb3HdLfXvebCMaEurB4
UU2luE3RN/1Hh9Rzf/FsnKX0RjGf/qFDaqtfaBSxRpnK9e0/dEhtOqTwQoCPQqhFmCbsf8WS+rMh
FTGN49vUfBBGlaJr+cc+pRJGWGVMWvdAvdNdxaqF4hctrxunHlq96fi7y/MX09sfw9k/dGRhB4Gs
EEpxRZhW/wSLSuyR5DXTZ1ScNuE+tNPku3BEdddbhd6OZC9u8mBeQkD4K84EU48wLInc7nlmQcan
ZTtPwKC9fvMPn2uR+vz8uYgR8ASoVZvWwU/92gUjJ0ArQFqws7eWmSWTY8NbKZYGuxVXvo8Hp8yc
GipfRqEwXbt1Z179/Yf4U8+Ya4NFzjZNW2Ibc3/6DKlHZTAi5d/reKz2QdqQTmxhIPj7d/mLX1wI
MEDQQdAEO/7y/3+HsFJcZKqsxNs7JcteOrx4ZL0eBuS3DG1hfv79u/3Fd3IZ4cMlVy6O7J/vr9qu
LcSLnr/3mf7uRm8B9XXEc/z9u/wRb0SXHLUYTwRkE2lyD9s/3VV2gL8Gp6zauxFMjIpmLILm7r7P
44+/f6O/uHjsNRL/ON/Hk/KnN6J04Iout28Qw5rnUMQZfa4o6osLLrSb/8Gb0YMHMrzMUcyf3gzJ
Buk6jVB7IuHNNYE1AtOIDcl0xlvFMeQflBX28qz/9Az4toUkDlmeZJ36aS2ILY/cJRVymDAE8su+
9IkbC8z7zIrksSQFhEFqJXec+uwDJOtyZ5l58FVmToHdYqzuk9Sr9+Sk9hsHMpoFobJCzeAQJMAs
dr60ts6JJYkKvzp2CTYpJ889OCl6pltYDsiAdTvjMXex2KzMRN7VeV7f/f0l/YF++vk7okikt8bw
6c/346JSwPIZq31YRPYxcQ3viErJZH7rPhlTsdNJ0ByLOvxEJaC3Amzm4xAK7x8u9V/dr1BxbGao
tIKcn/E4dTKJAs2Nv88QgR9HEd8UyB5R7gJy+fsv/Od3YszG/gHbxWMO9vNvGumoGfwEgowKYmw+
S8ubJt9bQ1N3+/fvhHDiz0+Hb4LK/iHahC/04///bmmpYGoY6KbVXvi9vU17Iz7UrPgX25QjThNu
BLtqH8kzwhLStTB56SRXa0iomi5YOQ4HH3fcHvM0Teumc+VDF/fuO/QOIhZk0mZrp+qmB1DG4ty2
fXlK4fVCgokm2sNWl4y7zPPRu9DbWpu5QnvtT95B073ZoXSf9kZFfGddV/iM3dq3+EOTrojLXIEw
rZagypBYresuStxbFGpEPWBJk9uwHxmPK+I/AzNP3gmMyI+i95neZ/58mHBeo6aq1DFFZ/OF2HZx
i7gnJohBoIcPzGzloq+48kw7uMZxufHT1tlm9K+OkRsD0sstMLBjpx+FXesvNuk4715o0mmImHIg
IaqC9b+zdyZLkiNpcn4X3kHBvhx4cfjuER77lhdIZEQkdoMZDPvT80PNkNKsGU4J7+xDi7RUdUaG
O2CL/qqfimbUuwCs/F5Qv3PMza54Mkyp7kKzDhEDSW5uQT4uLdNzR73DF0huqWBNXjP6Ng5DrcIv
RjP4k+ha/ICi8iYqm+RkSYD1UnQtt5nWoWiBiIqZHx3XwKk/WA4V3UNqP1pWyBHUQc26mK6j75aB
Nuq0o1BDq7Y88OsgAg5MIpMKZ5JeqM48D02+EmGoMb+J+ogvc62rod/UTvogpmMrP1RqHH44MvGZ
jI64yYiBQN3pravqEkZrxLz6EyW6+s0iYvrqcfpX5FGk9jdJa0avHNtmOjRF1NGrULunntlnPCpF
6S1NP0iMPrgjtaYW8jSUSawWtv5NSWKO1EHlNv0WDx28pZQOYhHyfdt0hbWQoLT3mfglx2++WxYh
Gm92rvS8j4yB44Xwp/tBgYg5bEIkijtiS3AeQuhtGrHN1HhAwWysveFziwOXrNkrBb1d9QoBWnDP
MIsv5RX8DkHi8cRH+HGfKmA8oE6zkQZljjjnWtN8x2T8z5I6WHYha4h0a9JNho/UpmaHQEQ/39jM
8M6L3/kNN41x5hVirItXyT/YoCdsVH+7/u073hCtpB5jG7mtOrVRHYDwLcmv4ZG79RdguZvCTamp
IzhCX0hZ19tQJNeyn7jrOw0Xi0lY/H2zkYHyhumQn8e17WfRxqAb7MYeW+RIS53xGbaXlCjokyOI
dpX5vAdAlT2TAZjwDslur/m7HUejoRdaddEx9Mya73diiu1PPB/VQo8zCeje3wdNar0OlF9dcOj9
NBZtTnnPPb1F0/8VJZHPAAoAz8mw2hY7cWFTljNAwrDIQR8McjZb+Jt8+oTub0NSDzFVy9kpE23I
74omDTqy/jTbtLgWzI6OodMm31SLE90pi3F8GHBh4ig2hyd6cs0jZcrVbgS3fjBIDWKOydov+oS6
BzvS8zEajfrQ6j7cKTu19qGJ3FTb0Z7gKDlnIsmXxB6L3RT0uJX6wt0M8px6eXjRDW4kgMQjVgqd
As3G0p3Og3tRLRNvAm/2Bbdu9JnDcXvhetrtqjR1kHASmkA6tOojMLcGQ06X7yaPQLQXGimlUNaw
9SWHY2KY2SWVwzuxJn0OG7OM2fUANvc92dhkEbcdhmSGCS5pJdoNqYP1QQpsAqMqYrcvQIvXHLwd
b7lqR2U7hgbLk60CfSvJov6ewIltTMMuYrb5/KBUOd3roRlPBfWE7xIg16Yvl+iFYeMCi4KKPsG8
8DaNivfej/xDo+tp1VoRzPx7kluPpllWpzqrfQKCazMhnIF0nS9WfQixxvHHHyoQOntTyrJeeNcM
6x3oh3PrVvp2hNfCzK5I42mEjGG7s3VTUeiRMgfMKvx9VCt6VTPuG9C3G211XCgsn5q9th0eEy1F
vm9dxssYKBF5hfFnIupYj4H3zCFpOfQqoxC94VX2LSAOoGF3I8HxW3zADzJvb5xCMMO1DMlwz25p
GRKfVtMwKuU3d+i7ylOGZFhMsMwFKPb54u4mmySV04/OVY198ki6qt4FzIIuqMS3bgMBgCgypT2O
P+3HsVe/UHpCenEYTvjzcu97VBoUo0CA86fRfxdBNu2sKp33AYFV/F5miqvLFQau7WYW8oVzGbgB
yrePle/A5MnHKrZYbK55Tcrbwgj2lPH7frQROcZtOVXtWv5e0y2lF1VMzGb6JtiSiU/MnUdef9jR
XYMtTkdLcF+B3avYrZb2bcha/ds2bKC4CtMG1LBinsI9yQURAyj4MxMG3WDcLDdj0H/W1J+f+OOA
F4ST3mPKdmNwchRsz9Uja//WZPG58hJC7Sp0EttOVH7YJiQum9KxDWVvC/L1CIeNluF9nsOLwwPE
a4ztvQWUcYcO+DqAstymkfFCFZxkEGCre7gN4V4vSVHGZWZB2Ej8kSe31FW8BK56sn3ziTAUuXqJ
ZzXqFvPY6bI409gOqFX1zLFo9mWV74WChM9DMSjbPqQNBluWFIP+TAp1EfKqm7mr7XtkrnwrzEx8
0D6md8r1CNLPpGBbVotJR80fNqR8V4ixOkJoHV5SYJAiJqM2/rTV4rlEx0HFFa2GPrFElCpX3rw3
jLA5hrCaTgwJ/jS23ZynMbGeHCuiJcKc7/N2KM/z4nnI4A4KvWUZwyts8/SPt5TtLuO7uVPhbJ4C
T9EJLaL2cYF9sdd18t2Cc79awkj3FRbLM9nidbJT9OVxGszpMBYNBJpEkRuozQdFiAT2fWbvl3CY
9kvCHGiTuqk4F6BqmFraJkEMYByTDdyR7uny4s45LDxqMIi3Tbj+YohQzZcN1+eylsx3e0H4e0eC
ozokIrJObtaEBA38S+n273M7NbdTM12hxuhvr5b9jZIOph+rmmLuhtceqP4uSrT+dDQwkdpUw6n2
5kPZGK8Qr0qquhaZ7pRIxBn3YrHLJKDDtPfrF/LZ3TUCVnMw2QTpJKJJZa7bF1dm4UZkIRHMaGi/
lRgXdm4OBRubXEJMwH/cSpu1ma7s9BqgNz5gAxCxNom0hzWYGhwDFWE2rx/up6x9kzM9Y43REzEY
YNHN467JWLeXDqNGBf2jbaYQSZR86RB1NNJjg9CLDG5t2C38zDx/4GDvtZu0SLYo22t0HXPepp7E
K0VM+V4GmHJK80v4+bEfre5U9QwJgkzbR6cJwF9CZ2Dvm8Ap595yqAwSglGw12TzacqewSZIaYTn
qMHMazOxPjKqGCaj3ipQUVuuUFuBfeTAUb7chSkQQz8rkgMEeno/+Pmbtva+OuUl70HtMwIyeZsJ
/GPyAXMu1cvc6XCjh/ncGf1rWNgDHapEdob2I+qwijqZ8QWR69V2yluR+0/pwA6V19YdY4mftPxp
x3A4qDzvEZjT584H3lQreV694rmHgcBegCowm7+pWuOm5QnCuB2Vh2R0wq9mCop9atcxu1TM8HGA
XqDqt8X5Roqr9qGtyBGORR1D9QTm7c0GX6DOn/uGfCtTnpd2CV99RXRSqU98wb+mxrvJaJB1ba+7
6NplGFm1VAvWONXtCGG5fqZz4EPYCku2Swe3Fle6M/m72wOtmnLAGTDMBGMLRqI2oIst8xJmK8o+
CTGqlavzWPBWkU7JGLWaNHfOWyMkVm7YFj0zA76LIkuOvmUPdyJKPew2gf7pqipCNPNOZWLUZxqq
/P2QjJQrj8nv0qFWwOe6/9ytOaT1ks8ri1PtC/qD3Ne4NdKk9vaY36rzXIIhthOiCRylfELQDta7
DMbYVk/EdEKLvvNIiFvbhTqvxcRZRSYMXevRhffCFUHDZuBWb3CG4RcubAZ8E/lpxlSu2C4N3zf3
ViqMjeAJ8P2d64x4ku3211Ave6ruoL34nD5rOhFhX7Hmy5QDvRM9ZotzSxburZvFtfYToHUT33uK
Kx4Pc9XSGrlINn3xYnbuFLeDQ3lGIQEOkX62AEMT7/gdGO6bXzFvJibTxrPUfGlt+Sptp7+fq6F+
nRBDKQkgId6OqUVDst3saNiD/qF08ZkPfQezJ6tZUpriHAjGWfg4DNJ0QFzSoP1FKelwwC3Kb2oW
2KGK4c7D2Ew/pdPsFmpT/gQgA+5gL3C6851qP+ON2hMx7xiNmreCO8u+4P5zpkOdw5HfxJ7d3rcd
FwxPhuqddKx3EGRFDkgsTwqn9D6RKvYGIDgcD++0MvrdxNqxc6PEv20im37NYuLenFutui4Q9xgM
TuXe9Lkch6J9c8pi2fWgYveEuPD3JV1E+MOfnm2DAXEgJGfJlulZ2uDemvilzkEbVBjG+EpJ3Mij
nRn9gf3WvEpFfiptSgGm/SjmpdhRemLfmrOqGJj1xW1Ju9Yr8Rv/NZy8H6akgOFsga+scsy3aqi6
o7AK40nKof098mzfgzoggJE7DEIcxzgAuR4OUz0Rr6wiffV6Xe9cZJxtkJGeNxW8MbzlVHFz7tPB
C+5DLA0pHX4mTjCciGh8ceXQRwhGSPYnXTP1xXDzMSuOiimK11eSZrgIlTVjquUo1HFFPkQF4JeJ
nqMtXU/90Vf05hYYjc6y7eaPfpnp5Wv9XcXruzc1xhfsIs5uLFZuV51O97mJL2VxS/q7ApqbhAa1
ghAVDzXfOEyL6GgPnrUnoUDnZjH2VDPp/Bb7bXsqzGononHaR7zo3KXq9kLFw7ArcspKJkx0txH9
RRxjqwxakDVuhyXJTpL53qGfMAnVVedd+Dnzrs/hIC2ePYCbGUPs+7T86L5RWyfnNM8F7AkTrPOr
FMCXoDR+4yMa360y/UUlYnWrCKC+VRAxuI63j9GoKspFWhB8lCbpvVW2w8Uw9Ytte2/8WH0WLbR5
H+CBzjgOa9r24jZBcrMnnWu+qDa72qaBNiRa7ezq3kQLqg0L1TEnchAKHp+mkXvoe0m659LnvhFT
tbY8gvJtKNimE1qccZmCJFBZw91qJjX5gFYhXqQxRrgFM/mJKcZ5zIec0bdSzi6buRrSIZi39/hw
fmM/iB7R41YgutPB3aQlfMQOEneQWxCY+oC+LtHeCCpqd340ladhEkiiKvF3yiCtahiZiKUOBRNt
Kz/P2UyO12ubYBNaa+O8WH6NGnJlymTvPWvAEVdF0aJw+L8DakI4HERzzIAg3enakWvPWBOXA6Xr
TPtwf0VOceLxe4hcX1KNI1J1nFInu0kJS+6AXeYXexjyaoN9Ti6XauqrACORMzzMhel+D8Wo7LOx
lPNhGANwnI6/BO+UVpnlzh2Dydu1fZb/aXjIgtiRcyFvspQB2lJHzIQrE3zbLmS+6G7dsq3eR9/r
GYqP3PSWbnmmlMM9yKFid5xLd8vU5Knwe9bMqC2/arKa+yK0pi0OtpT6Ml/Tqyu9l6QErt8NmO6s
9oz5FnNJyd7Bu1ott6Kto12x9o1s3GDR/SYTRD7pbGle+UHtSw0Q5b1c106rqa8QSsp9IWQAcTsi
12ON1BdjmBYfspHOuQNZQXNx0MxbF+/20fKS4WVU8/JUJoN6zkvHvTWpX6PXB++ACYKbTokClV1X
sjpaMmLw3wV5v1VLQmtjN1usibXJ/ms0Vbgaf+shToPR2NEJR4bGXXvqyV4lexWkaOmzKhMiu2wG
q93XoLlS6WpvJKP89Mu1movvpHwOWH+ufR32Py0FwbgpuEweej7q8Ib9mx7f3G4f6aFl9Sof/RD0
azTAsfBW7oiMzPR29Pp7N7W8LUrOsJpGfYqYjSuCO0UHCV3mQ8LCyxxhb3gjFigY5odgIH8HISXu
YaFEBs5xYyo9yYQfgpaXYkErlX4NsCIDayzpG9M1Xjyfq9QxGkK6QltqMUbi3MzKuv6RK2XC+18X
B7wC/m5Skr8V/nt8PZxuvH7aGVZpHpA+vhecRCcc7MuGUuLXfs6OauzGA0ot/S1hYt5rGzyJE4UE
hnuDSijiEkfRCTLLWamAseaPfif6HYnVc+KalIbxtOBcRhWGjQ7eJwAx+3tqiKRt66KmH9ox5+AA
GBKncGJKAB1B2x+CAI4Lixc+HL+Ai9HPtnxD/pAPAojiYwqu951GlOKOT557MdLd3hra4I6z3Bj7
Kg33NW/f1hzsny5bY3mLNd15S4q1AE5c8hsNlhM+gVZ5EU7aJeQodA51XhOM2ffUN5W7MVWygO4d
dSS0XZpW8ALDkN3Sl8bYEQYebijtyOiFvbQnVwqyCxsbSVJE3CZpl1MXzZL4aW0yUg0pmV6aoL7t
KJx7Kf0BLFcWqhudYisAH8vEJcGTNxNPnyoSCRVVdaz8o370ML8faglsHFkk4I/WwBBSjaLnBcGE
iM5ZFjP0pOzqTpYs05lNRxszy1i0YguldbhLqmpLSzV4L4fEqhBJLFv5p1/aF9FN0QsdeXgNdToX
JOeFhgdrLZR0TW+LXm2PXWnvsyEHi77aFyUtZs2c5+e0QRNioHNKq9x41aORb6N8RaoNqozzbMlh
uhGDo8p23zXculTqFUcSS1xmBxd0giYPc+IEOwjKcmp/2ZsduyJOtlBqpJ0Rgn67Ot9dPVKKFxpZ
T6+YaRrXBptbszeNGh0HRSN7IjvqXTj0NSe78JsdFX7yyR9m8q5B51skoWvNlBrBw082CyQ8bFAC
0LAb4NQ1U6mObZlyiWy5rTRbZy2wNwCadZuZIMy+DEEzqhRZ0xwD/53fa9l3hEvXQQWpDmcZsJxz
Y6kI8xGIQ/FUzvdsKw69hjRgu0XCorctVKtrfF0sS6yixaZ0EueP65erRzQMQS8yQ2B7Qy9586Yy
eO/mLLhhItXcVlgEHhl8BiffdpwX00tTiTP/L5ef4Y5gfisdfdAZ0nCQMWoB22bpKEBySY2g9iPa
9V7NuwVeSKitYbnWjytc54XUvvmamIX8UwZYyzZdpOs7yL02IwZVmAtxYLf8VoZnnpJpno4UQ+ZP
ee0lKbVlhmbfafxfc+AGd54sqt8V/WUopml610+N+94bDoYgTYT4s/Ci5Sxrl/8txggZoiIUQhti
3WLtlI33FDV46mNADdanxrV5HNtuoGo5zPz70qRvLw6VTu+NxUXbhZVtZ0n+alLm8KcRGPYYIiVv
dVoTw+bd3xmaT56QpyhPPidJ8mX58ob/OHsXKcjnzUyz2ofdGv4nKrD7q9Kzjge5YCFwwPm5miP8
4gzBTvCInKXhgqKqm2KH2Wf6Yy/4Fw10m1iYLsl9HWLanRWcJcOrs5NDZOG2Hcfoo7DskkAoNlZ6
LnLMeX2BW8/o5F42bYIlHQc4YKhKfYSiS87gLX0O1Qud5CUHQLLvtc726eA9s3mJn0H0DYF3UMMM
Gwxn43n0Y3LMKzAFG79y5B66abBRoN2YxIesFOJIWhZXfBzEllj21c5pZH3PuKzjlpeid3l5xaFE
2LV8mvXYRptyrrDKzh4ipAsS8tbuxurkjnN4wtXenXO3kd9UBTAYbKyOCGthwXOlijmvnnU0mua2
K+vmlgUjBMYAfvvelhj3DlyTJzsebLX2qtdeAQ4sr0rO2XBfvqyiHR8QrMd700zUkzcEzQ++0OpW
mKI8L33i/yHKGFLrKuVNig3eiG1rcP54fdf8lHY5uhuD5NOHwHryXrStDvDWBq2/DXNFJHoeXbx7
s3D8I48qjG2oNs/aUxZt0vRN5rACtPlotJ37mgZ1/S3S9tWKUEWF5kQyzBLTcUCSbkJxVyXk5nH+
rHWUgc9GO+05T1E6FCC9L0fdIevR3q7rPdcAPuReDhwwDF8u5rnIFMHArLNIFZDeyK/z1JFC8Zi6
skakOI8d8mWXrGD/2lKA2+3HhZaQTS2GuortkM3G1iWDaBka5u2g3Imxlejtq9kHCHYBTIfY84P0
E+tZQoFSq98pbpHFtg5UdsJH3zxmfFHhHrOx+6IZEM47E/joN0cjl86UvJ6/ipSm8riqZADyKqhx
8TExnuc9T3OhDwlIYhaIVk9+HETC/9WTzAfSypH/kiYOQLhu3dkiOuzTxUC1N4QVndNg/t22MESY
HI9UxTgN7wlnJH4DhgmW7ceNYstFx56Y4wQfabVU3206JkiWUNcyf8YqYlk3XoeEyV7gtv7BAZCW
bQMUbBtrOwTAjcM/eLbw24HJotZY7GTqgFvvraDpdm6WI51pq/hKMKieAhz7dlylHcz6gFTdrq4S
9dXOAZGJybXY/hndzJeyNKrYHDv/fVlr6RlicHmrocuXmPNL57uoOvOCN1dwwV1m6zAPtTg45eBD
0+/mvU95GMO8UJzIDjIoI4oS3fsRciYzyJ7dRCf6aykkPA5pG+1bQXc5MAxOE00m/ziDFUF0d6Nz
gdvqflwcoyJHzm1tbnV7O889iFWVc8efy73rg3YxmPYduNtQFcWtWf5R4UAmPaqK/D4LvbuKue/B
JlcGlLp2CLloYzoWNdGxPXP7jFyN++kRwHg0/ML9AkfYbWgQuIHT0Xz3nlO8QLOoqCgbmwjx11Xv
gAcBVqSNda3o43pMDfufjBj/0fIC9RMXFBs37d+uu9on/sWxkJVmALtWheudnuEpN+b7wKearOpk
zr7NUfVuIJD2Yg7k+f8hJOz+Z3YJLChMQW1YVlb4N3/PYht+mEdTeJjpe7yLfNkeh1YzRTAZ2zvj
ZMYJdzIG42YxfI8LW0rb93jPh3IFHuqvUmovDsMasVOaeVwJBkxi8qHEcoxffa3WvUhHB1mmphYK
AdVbjq3vNufRLZbbTudXbZNVAGQKHBOnVhX30FJYVzgBs9dXBsJ2aR+g6OGCxx209TFQb/oWlIw5
es+ET5iMjbN1D2H1q6BGKCYt0xF0YcEvKJfGwp+tVqkpdP7ho7NXxsv/aeOBI0+83FkpYgyD/2Zi
q3mU+PhcTut4KLk3mPeuO81N3BczKB8sS+OMN4PGHXYlsBWXXPfzPgJXK3mYFAamLS1IEV1CpB7C
TV/7O+LPw8ls6PFtJuMymT333arkAOwUtMYWBHb/wS7znzhzIo+Blhvy3/hzVufcvzx6OXuJHKI2
OpitLP4q+l2qOCRMcFmM7tGaBn87sDnThQqanYh9/8PEqz+15urWQ3DzLAGtX5NtCAW+jf/6b/cf
bXsR5kyf8LwNaMf7u0mQUIfhW8A3D6WFUMUoMo1uzES0//Bj/lZuvxr3+I+L45FXgKXd+tv3SA2D
4epERgfGnzMkFDswjuPY9nizK/+3zQWeNbKUsSAGsk36wX/MOYROcE0VmOPOju6qOSyxzfCySELi
dxQhmfOmTBaKoXPzWXalfv2vPxrr758N67VpeZ6JddIN0X7+ZtMEZLwgSPDs0cLCogAA1qNBGnGw
SMgWovu7r1F515h581EtqGfMf8w4G6h5nd3Z32JmmL+9Ipr+rbLy/0Ms/sGkjXnZZHn4v5u073tR
fP7+V3/2v/9f/p1gAW/QYSXBtQazwScG+r/82YHz38PQQ2DANcKjynLzvwkWjv3fad7jOBGsb69v
83Jr6sez//Hf7Ah7tm1h53Y8/NS++f9kz+Ym9LeVjqmT79mUSLA/rVvUuoP9yzKRpmnp5wRwD30/
6GNrlf0nIzHU6ZAuBacy9GVU0FIqw20uYggpsq9FemonOMuRKYApgad4DeFAfUctvSiAW4w9r6LL
EK+YLkYpMoQxw9+0npec3ZqbSTotn0i19wjLW6KFSKRTfTEMYlGkfUgU0wy2aaP8StdNS7V3/mo3
7nfi9iAVYGaj7KmDDSV+DUmX014hnMYzp8JdXgTWS+Xl2KpVmVVnrHLiVpbzciesoP7qy4YsKp7b
33MOdZefN97JaOYWtnrUN9J301cb6SZuweTH7tyDu4+S8pdX9xVuEX5qUlMKQhStkt+DyWruqiZ9
c2s9ngzRONvAxx6jRI1to2w+kQ67c2HNDNDhGd31RhgemsybaPyih3Va/Yj9fVZNMHxLX1yadOyB
YmiPGbOgWyDrCvuFzB3C0TQ95UDjrjoj7GQnQ3Mw6uDedsXw0qHK/agqb99zf3QfapODeWOG0X0e
Kgc4UCN3SAX501DU9imy59ciGNQ9118G+aXyTj2f9aWrk/yGBgnxOkLMOOQUXOEbSHMIIGXcKlV8
jkrm1ywLqdoBf22RmByD4cmNCqBlEj4CqLKYrnp4Yr2vKAWfE0i9s/zyl+TPXMzhsg2i6S0jlF5m
3rmne2+XS8t6GMLS3OWESe8pcIneXX+SN5z33QvQPQfTHadotzS5fJd4Sjcan/6VSxCC4yJDVH38
/1/S69VBrsRlPTE1I+U9niH2J9exQtTHogGg0gqtE24D+1bNwU/SXiz7HTO1iQgWRU/aqJtzhfS2
XRIReGAre7lDQYd8XBtSUNRkgcFN/aa8RtmiD5GxzFimKusOB3gbp+i9SOwLpMQ5SigPGNYDpxq2
KbOT2Akw+vcWXxDeERuY+Ni3GN0aqREhEmcLzLxDRPD/9KMbUhoQdDi9VLT3O2pWssaeTh3Hlqsf
BTA/c4W5kztVngcYTOY2eI5KY9jT1FB9EiRUG1+T5OQCRX9ewlxvV7Sc+dXC5WcR3DinuW9iY6ZZ
0O8bc+cuzLdTsNO3td/MxLD64FAV+ObqJbgTU3uoHUyTQbjI2yRM3K0HYMvrmNARIzwspMgknI+2
IMPPFCQmcPjby+aD5Vb5JfUm/BS9WT5IOgP20qCzqNR0a1ilCyae2w9cKHHBZx9+lDmBAbLjYqCo
T42PmHU/gGr9FqQuvUXfaBF8FURH75ekDI/SWCuIsFmy+Kx/Iu0nTjxa3PXl8sj045FAwwwUou22
SiXzUwqFbENOi4aJnPpMQCnfEEyuRBWnnQ8ZK7Z6n4gnWHQKI0Z7g/JNlKz0zTuI2x3yoLCovE+7
M1Kdu+s7Ooc7Co/25I2d27Z3eJnMwNolQGQQ72w+1cm1WTwiRtXDmi6nimjPcyxwRMwjCIdFTm8p
9Q8QQAu00VJTSmEGmGsCI4+DctCHoeGMWTYelyxLa/8EiXA5gAtc7sN08fZp4EB4cKgWniHgcEfm
255Lj3HcAs7FMrLuUEbMP42E87Gce/dg99C/NpCAfsuCMDz/djPfdK1pxbXZTWcTifdtFsYSAyuS
N3C66JlRkziLagyxAEbi9wge7jKixq6hZ/ORl5z6oDwLkk01KjybGM6cF//fuN4r4rv8i/aduFl4
1SkLH7luCmGKAQfghJWUWV/94mCn3ck5PxgVkBI+iCM2pWDLhuG9D8J4gGhwnXN+c+oC0GyRUIcV
Sb6EfvHepnDK6yos4mLu6CFqClJtbRXNTP89D3E+05jHQJ0HHXxCQCb5oRMegn9Q7UqzrzZZGsUG
yUlC18FNX4D7AOQBvofy4mLBjgw9+Eksw3Tx/iKre8Ltnjix5tu6H7/L0CmPIzbSbZIMt5AVHwoH
Wyi9lbiTQtLMuTZXpRgzhLNi3B2PFdxb0e5kkxRUt2X4idLuIRuCl8KX+AUH/gAUMDm/y4Jlg0aq
uvCOA56DWK8cebMzt1D02wN8ekxaK2k+ryLv0fSr4cKfTnaDMeuQUp7Jql/lz9xHr4R+d40Bsb6u
0nqnO8PceCvPPlvJ9u3KuJ+a0j0FBdx7bH3um7ey8LVTjNtcheVqH2caksintAKZP6s+gZD0F0m/
XqH6pA7Ti+KOfRdQe3JpqOL4qSPw2Dy56zaIxada0fzaQ7DiPBs9ashtOIhAVpn9e29DgijqC81I
y9Wq09uGSh22WToA6MwA1BapvDG38GUos7HMs6HUmn/UN840x/WEX8lGh9ow+CY2VRxaC82jUwWu
cqOEyGct3aklhQ3SQgJKQhDk3/qxNHZ6/IIln2Kl7fbJSUd1I8OfYHIIlgdzclUTubQx8eyLhxdA
MDhbKxCaZuw+F7ahn2Ixw61cCxOsv7oTZjgvbG/FsDyTvO+ey78KF6K5rGkcq3L1AOAWq4X02ltj
bWnwurr1iLbP5itLz0oypHJLK8FEwwbxZNq0PSxhFVKF2BYxyVX/ySiz6VSH81If/BT0zZaSsWdJ
cnzSKrwLDa+Xmzo0XkmdQGhpOKIALv+BnTs9S0q4qfwiGdW7Fbu349TRQ+g2r1Mw3DeocojD2bXL
273fE8LlcvNOYBYLUo0lX5TOA/fLZk0FYAhcyzAEQI18N68VGQVRdIRQ+5R65VeRucS9UkIJ+aXD
zcWcrYe87+ItX1wUbd6shvjpwIIBcaApvDXbgwOSeeJsmI+lmX2xob2O7fCtPfegJiLgMk3VPrXc
KPYLLDfevFjsu5zCkmyHJzTYFv4y30om3nGCLWrrzK66Jl62rxD2s+04oVZEmdtfQRqj3Ek1Mk3V
hdwWXL2eWX7Dm5m570rANtwdR3hxsixOnW52xceRXwwoHtt8GJ2jotjxgVPc/NQU1bJ3h9G7t5jK
enXxTU0G+83k9oAwsPmoqr/1C92Aq4ZLqPH1bDxt6+0aJz4ndt5tYUZPRzCRZty0xidQKnnErlLd
jCEFAFOi/B34WeY0Gntss2TejcZ2ec/xW53DYLCPshlTimOKS03x+gehlOB1SFj/6CTJqFKYDdAD
XRc+tiqUd1FiWaud8jOs6FIiKCKZBZJRmAL/hIwyx1p178pvP9XQ0CVMEnEz17hOKeE9J/CC3ry8
Dt9FvQ6eVWa8CLfd1j6FvXwdObIQH93PRAECKrzlP0AYwCRdCNPbRETTzz7g/2On1JGrhX90kCH5
UOv0JsFDdR+Eq0mnqbYOM9Y3mXXqBud6+0Erj7UtPaBj+JWUwcLjZLE9lrg+EtXy7ACoJJCTxHCs
6JwJyijGw+rhDuiTFzFn6sFM6SPGVZ08Oq2krylPwR5Y1fjY2JV4a1GV/zKPwdDw5kcbasJm4NL/
3dQWybTcF38ioGiHiWEl4xpO0CjJ7g00QSZLiyHqz9zOsxtvWApvY42hfUFxzJ9S7KE5MrnKXzUE
FJZaCSONCerVqkzzgJJrXq1g5r0mXbDxM61PyVrmZgYCywv1YpsEEW87GmP97ao+uhqh9P4ne2ey
IzuyXdl/qTkT7JtBTZzehXs0N/obMSGiu6SxN6ORNPLrtTyfqgQ9CIIEaFJA4QEPSGTmzWicRjtn
7732y4KrFibpDHPKG+mUGagPqmAjPXaQRk7IbTi9SkdM/OhZQvdMAoArfIJFw+Xl2hb3Q+nvMenh
xIE9/kJVj3+0BjNje56yNJxle+sPejg3dhDt1iz7obebkPyKF3bf1gtXN+Nl+2oNY/qclHfOgcQ/
zGs47Ix25DkfypD7Z4g2pYPgnZFVUrCXJz+9ztxtwgB4VaDm3YW5ELeTUwhqWDUXcr+Vp46cI28N
nzRDK2OHtoxflTVTkphzM2dt6ZyE5cBGcZPy1l3VHYQpF3BPwOIx0s2JWkqNidRNoNYCi8FuUP3h
G5W7LKE3s4oKQE617iAe1MsfbH1fGlMSsRrgFP0c51tHgczgv4J2AlWIG2ObnbMiv8XBzM0RErUL
ImBLtBqfQxWIV2GRrZrXGpM13BqRl9HNhdrOyhMrpt0sKR6q+XwZ8hG92h85U98SN8m5QzrHsV0g
n5LseikKF9krovtuW/DMbesJ+2ooIcCNo8JGyhUsxe3dPudc4DNmueklt4NwY0n7ETxNtvezfTxn
pJtldaIk9r6cw22UzxwuC1dy295T2r3QRLfKvaY+e+Mt5q70h8+Le/niy4Mg1WGFxRc/bKWWETN3
6B/U6hCyrOwWvpLHB7WmME0rQBRjXbythX2bc37uasJ5l7uB2HcS1MzUW+6OOS87xmVTbytfqPvp
YkanGFAeJ9z7Owud7Mibojw5U99u5NTEd/jX/APAKJm2QX4zYcDHm6ps4iVmdOZN7XK0Q2523S3w
BYrm1sR9BdWBrBGnvqypGai7GuW+x7LBxfdYdNdVHM+bMZ/m64ajsEJiN9PjEJTtG7QeHh6vcLIv
lbWrtcngAtYbu5As9MDZ3jfKsR7oW2g0nT3+FG/iS58f18xguu2aqr0tdenQudWq296qGXPpvExZ
19IiS1G7yVPHSn6PcH1f8Cb6Ozkxt2yQXphP8R2wLFaVc2DRqQ9Rn4cPqjW45nU4kkzoAmiXvn8Y
J1d9EY+ByXFpz3vr8Gl8mYYgytDjxCKnEh750STnTDrdFeUD8TFx52UzhVAk6KDTW/4An4Ike34h
qdQ8ajn7txWIlwP5g24FR0gGj9/pvdu4fDFoUi+5O//0denumIToZCOIdkcPrDiNBmstW/GJvUEA
rH9oLeeOt62zQ/XGZ5RhRV0W69oqqR2qaj/fU9KGRONIiw4IJykxjwfseNaSx9buk+gxqo21SxoX
ubntGlxQ9s5VF4xOHnBiTbk4hguSIxFBlSa6ezJh9aF6eiYXYWFOFN9V5ZdXkVQ3DXWhKUYGSUWO
eR0YfmKe4Qhy4s2YLO+dbK0TLqLiH5He/+m95/9L9SsJi/f/bKN58/FdLB//YRn6P/7Vf2w2Y/cv
Yv5+yDqPOJgdxf+OzQtywiYDHYPsvawv/xXNS/sKTSg0HiT+pdGbBee/bTadvyiMdsnYoxYFYCP+
W2heB3z3P602CUyFqAiYQC8NMV7wT8t/waNp0LSH/aV+mYSAgklIfXJxZ/HxfSkC7bzG+KuorVqj
+pqKltk5xW2vr+JZ0Ennu+JOgWYEkjYv/jfEiuRpbXVC71SXu+E1nJqxeCF+lS3kFbv4cg8jsNFz
chnLs+GQkjMCQvUc4aBLdTFOd31rvwAHMxY8pflJBH3zlK9tizoZeXeK+O/R9fv4FK5rccWQO/5q
SEtxFY8CenWHWjd9yjVsTbW74Auna9UGIAYtMLadGRj5GC/3yZhNXApEWHcnV8kHBLtmfZiSgQrJ
sFibx96OIdRg6J0eyQY34H78mQkcK75PlsR3i+nKzetJbrgi9N/kgEbMioRZ0G7xf+nr0bRJcpq4
rkQwbMmk3aOs9N++ImV0yPGtTmjjefLdrav5XB2ybEeXwA+VyZFXAcCdLQD1SQJf0sI01NwBkmjn
02oF0x+dRbqDydTI99odnacudC+yeBbfk7qjtrcsMfniy8bNUvQ2g1/MMlcJf7ryQkwaG5kppsS6
CPH8FKanoHtSTBolu7M0c3z8KMliP/lDJ95Gzq7vUVoK+XmIbptILNFuIDVJPfuc+2nQ9PM5clx9
aKHDke0NVHPgp+LDMA448epBkiiVol+PwVTRMObo/Jp1eVO9r3w4HsqysfB02i2jKx1gZHFqSs9W
2KubPlsgENleLtJ+ZNqnELjYApjDce9XJL1IagFWRqu/9tvqa2z4tHBFqqgSbjoIvtw9HjEO5hta
5EGZ1XzfAB7DtLRWp2AfaboPuzO4XMXo/cnrJn71FYDH1LGHynsvekiNwGKnNBrNp+d0NmTVyTqW
JoBvD4rqYJerLrYafv851M1D75UCerHiyhsswT1uxuRNqVrc5ATDMKEva3EgmR5/KZK7mAxtq/49
KTOOxEcCuoi5fvOWhFXQIO3abYHPsqwN539BtcxpYJ17YMcozWap8+F6zrDnlW37QN0kq+HO8eXB
L0lmMj891b4/vZGlpCOAVIudUsnK3muaBujScZfF3pGk4/qBgWksXkfIvYKUW0GxGaxEFFDjWATx
7AhPP0HVFY9y19iCqQ/xIMfgOhW/iZIYCccw1x2x0Ggy15KKHQw31Qw+wo5dr9j7VUiUv7Bm526g
mCRCOVDhm7dGlMVu4jyyMoSC0X+9YGes28DHHbjnnViMe+IHeGf9i6yXVuHsBft5MYu9LQ2/6A1J
iaDiWXfz1tz6+HrHG1qDKc118LA1jwj5fvtQxHN16crJnPlV8+mKN3ZUo4IwUsWgJefCRstcEkaV
HpvDURdCP9llHVyhwebykb6HJd4JSyflz4wv6Jq7FGO8F/RUTDFg1y+KL5QFZldWP/WsE7Xzskz1
mwsJj6BjENV0YtsrhK4hthD029HJiAOv9R+VlDKld27Od1nZV8MVn0xigb1wow0RHv8ezmB727ZB
8B1apnWPfhIlXDj8QH2ioyuSzbhut9DCzAS4PBEcEsZ9bkPfecZ1tGKbrjAW15VPdtzuZZ4WMU18
UQAiMqU6JkByZyCHC1yshd5wQEYDcv0ou5Rvsdk6gnIK/iaLiE1tKkoCy1bNbxP6/M0E0fm1w4sD
wBXDAZBVtyJS4CVmo/re7DiHckqIsIeRgtLzDd7l5FcGbwIKalnAyrZCcx8Yit79onUfmqkt/HTW
AZnhqs27q0wS54ZvbdAh5MKKRM/Yqi0ln2i09l4bAL57R4E8ZIUbguibQfg1vCKbnbFsqnpzMnye
RbpolwsrX7FYr+PBXsbkuu+0ldJLiYGVCllM7H7b31m6Gz8gu5p3MTvkXwoHB+E4lXtbTdkDb0sR
H6QTDU+dU5pPCS7tG/b4/DSzMdtPQfuYcCxRcYslddgVU/dYguksCQgW/YksNidv7ET5kdpnb9vA
Fz5gxC0RHnw9eSnKsyj2cX3hHQx1+JbTfym3I3TfcxUu8Z8En9umFZg57CwhAK918x5FDWzxLrDd
+Wi7I/yKiQ0YfNnuiNG8oxsc8nswSGJastNOuV8cvmGQ61DTOmFdE5i9LAna3Omvl8Zb++2g1u5Z
1jMZhcw0F5j61PtXvT9O6P0ED0h2xOQBFluL98Cy/PtpXLybUlbJHTd2YjFEfb94NatrOsCHt3Ii
+rKZjSEEaKr83DgUMW/kwkEVeEY9NMLlr7maJ3d8LfodNIP9UjkDEepxprbUvfjXRLD0epuF2Lii
8ockaf0cRmSW5qwRmmFjbN/s1V63JtC4aJUOyOX49LziV5wi+DbQNuJbbi7ML0nbwKwF/y4TSxRX
WGMoaXRGRWFKN/G8sc/cOrYI723c1oQXuR/fO6O19o80m1sn1+/Uu+u0fMByf8Rzk3WyibeUU05U
2YSD/gzl5L/jX57uDdXG3lVQtNVvNk+YYhdfk2KyS7/9hBuivzKvxvgM/kNZp2HIcCxAmE7K/ZRP
0WPiLyBgvaCOTn0M/H8DtZr/X/7OI120Z2ZWK4omAqms+DES8jerTAf3fkkHaDAPnMz8cp0XYw2t
3rHYWunEKoKGktgcUHEfGHGg6Ub/ITDekSWY+GvbK8Y/waynK0q+++s5VNEpsER/X3XMvpshWiSL
2Hoqn9EI20Mhm+Esisw+2GFGjbMiYrFxlKCqy6ElNU1CTDApHlDK5FBo+Aqngr95aa1N4M80A6ze
xVs/ZNKWTIDGWz7EYmVfejARgaRhonc7j/1LoRioiOqXY0Gz4BdPl7LLv45m3lAgs2miob2T9Ns9
cDEttkbkbr3xRYxHGubJyoeVYt4D65DuPQF3wvMGDIMQF2Moct/E9jaQ/Vvb6TBPxULvBk0Awdkn
5PHhjeNAv5MaFRc8KzvnnXSCTe8A0wTXVexyzswlLenEe9VxLr9Wmxa2DUHe4FYUwURKfezCh6Jb
zAWt3T51ycjXplQHqDMm8JTOvYBqJGGK7Fw/735x6i9bkj4AbLjs4CXHFps/ZxQIcu7AE/EHl0Ih
xmIEbkV+tNouXdk2Kct9+R6LkldNbCXrHUb2wKe+yYwfWnfBLirYraaNrKo7j7CKv4nmxqnYB/r2
xX4ZmRutGMPTASLkc77q5CmRfRVfhnR6L5bCJuZlWviMkfF/Uxw5FY+VGZNfpFS9escBE1POgISG
bmAvIMl5M2NxW4JTQQ8NHXGNjo+YPy0YJPA1F+LRoOptkUyHQGsfs7+jonvszBaZrHZ2H0PeOts+
zMeXYtXi0cOn8Gtecu5tRSCH+9rVwbS3kzUYuJJY2N3p4AuXDWCc8HEKE3GHrgDOANbIQvWfJOuU
G+9B9hzUR0Kr1JAKUrW7YAqsb068cs/7Ody7S1z+XGTaLVeh4BmKZOfsB9sKH2zSPtQolxDCkwKt
OJQu0YN50cmJFrnorYqm9VdjK+uzi5vy0V4KRexr0A3WjyX6g7tE9NesEtmrrUOAluob/bLOZjni
eJ3OEXhWsfWjgh4dO5rKlsYztSxbgWWO9I1sQnbdpfWMjFFPu3roh4OtSTU39Oqm0YLzIJVB7+2w
1Cmc6W5do042c5H69bS8rjFJoK4oKSSMlojVFXQmUg1Oh2jZVVA44M2o3dzm4mzywb5ymvG3sSmn
zPJObFexjHwhLrSLzr4MU2F/MoUXXwnVc/L4uX8vZvT3gO5yyqKXGcc7hxc83OIF32a88RXrND6F
KE9D8qcjKzSEnroywCJ2klDM3rcKc4jnogPetmQ/VGENd9SpcP4tiVVimGY6tLR/6BpdHGauCHhk
cOHd5knX/TJtUFzJsmfNvVjt0RmovpZ5NH7NAJDuI2vBYkFX28TdJeqewHnm+xDg6pFcav7OdWYA
w1A8iJajeRj5QpcVdRYTG8bvqcvOfTCJA31/UD9ycusAvXlTWywCZzF/MT3oK6ejqRiDc1ORq5n1
dyVbe96Vcx1fguHxeynh4ZLKD/Vp5gOSWtYCB0PSe0zFWHlKhmr6WGP5vfYWd6vazy6vU6axviBY
HC5KUQTgrgdGoHw/FQVTrYC1fUPwrKWINPBS1jfUJecAXan4Cu9JAFB6KY1RZ3QEfW33RX+1WL0k
Eh4omwRUkKc1ITpapbInPvb3GHjOkxkJssw+qHl0vDioV3RVXHODMycbfp3kNKocBqVcy+KmsDQW
x3IZ6xe49sWrnYc0akGJGXnByucQdfxD9KRVw9V1KZUIdXmz4Pc/huQtrrosSLyDbQaf4w0I61vo
2ndYZtVdRbbzkA36ODostagTaKkRq72RsKuCtlUFwe9h6abPfh1umqKW56EuIR84NjkEgcfoE3K8
/Zlz3aAm0nR7DKbxDRe99Qwyb7gt62l8bAr+2x4pfVBS7riXdV5LPqLUK9PJ6t52YTQ/6Yi7+TJU
GpB4bek3QLvBSTvutGsbkAZ68YbPuKW1pKZJ9hwk2fyY5QGG8VjbewwpvN3C0N97lhO+EpFNKupT
83zaTmpa7R23kV81n0a5a6j1xEU8Os1OWjKAClONLa0ubkSya3bowQyZ2piGLa9/h27tkCHA6v0n
qmlWeYpyqI2p47Ytk4l2Cwple/GtXGv20qpucHivon03uWI9MXoulSmRRSL3V4Mq+JKJqeP6XTW4
yTz3/WIrvaNiz/keSquDv+7XTYkTxcFNxHSDXFQzSESrES/VRWSkbaN3BfnvoW1Ju8oYzz2IZ5y5
cv09FX1wFbEBujIjYjHbc69F9WVBDdirnj7ywHKAYKwRHOrJhCB3fBBVqW619YjSjB49T37K+6V/
LOpIf7i14AAYnOboBuJdlV1x9qhkbQFy5NXWntmzMNfVJAyzLniS0aKPQ7t67k1uFgfNqlWl2rmD
u5IxtBuSkp6xSkLJF+T7SymFa2OEsqhjICN2uTLm1/Pc7wU6Mj8InRA6IyWyDsSnEvtPb5vxNsZc
8GqbJooAwXnY7iodlb9FK9SJDU7b7cGiwYZ3qY46WVHpQZrI9PrYamcKr0nFoxx1hanMdkWR2wnE
q3RhK3HQXvSWNJKArWR8I+pgk7JdVmHPKXxSeoO7Qb2zUl87+EMAlascmwKjmfXUx1l8bYXrQG1x
6W0KxIp3HjmhbjnyQ/hVY1PeOZnnf9XlGL+ymYGFz/uIm3QPp4B4722Q9PLLV3nOw5Tk3rWRo7N3
kqL+LomxZUcJbSZh/aCoH3JWGPGbCrUSLY8iU7HxelfpNOznwNkqwR66rMjvMxaOOfuImhKITUxP
Cwj3oYW61ff5TEfsAA78XBfE0zaCUAvX4ZJyTkKgjfaOA5NYuSd2FZNmiiZ7q6pAR6mv+vG3l8nL
VXnoAAmIoa6fKtaBAc1V9Yi/bKb8UzSKw71o+GBueE9X4UkGjf+RW4OPXb/IKfEC3M4Nh1cUfbVk
f8FFmNOc9OEntYn9a9g48e+VxnODl7CwfnUx3aQQ2snQpBgqln0MLaXc00WtrriJ1xQq91WdZss4
MN4Ro5NpX+qeQGgR5+++XPpDG47hLZzu2Gfownqw1zSebJFvA3oeLXhwpVtX59Cv8V0J7jy/y+Fi
AXPCUZ5LGXq/GiT4Y93AqeYT7NUPrVXL44w7Bq6VYvZA9cuJmeIUa6+d8sJhH2TDQ9J4ld/vpqZT
+ADcxprwhOis6a/KhEAu1hqnPFRT5BtogZl5m0IGLL6TGOlziXDrhdSV8F1Hl6ISt9Ir/rZkYYEG
Yi/7QOtynmJ6Kqedr+OQe0KVe+dwmADP58FUfrh0CbK3EMZy9gsUJSulYVerUxKN62vZjgxdfDzD
eFvlJgowp9iGogsqeA5N64YnFiKR2Lex11IeZtfflGO5N8D1EU3qavTGTTMQ+boTACRe6MEtX+Vs
o7mMC5apzbzGVFxURJIoRvBHAE5EKdqTRulrkc9iOW1QlpOnRiimeYO/ZLOETvmZLbNmD+K60r3m
nCA5AdkfKQ5Rs3GuYiNVS6Q3mbzz3EzjuhUYCr5UMKrnOnSplq1IdeB5dVnpbYSOlpTOJnaPzALk
iivcjFRodY6Xf9DAHZ2Nq9iViqSMb0sjSL9GnJ8c2GWOltRw/q/bqgXOvsVQBrW8hr5B/1IxSns7
iam/RUc0WH8obXgLYdZtUQnHN54k5V4r2x4PeZ8P43UP2Sa48Fy8ZGt5Q/4NJK4s9kBfykuovaWu
iNcS54ppTd08l97kn9akA79mj4Al05nXJIG7MJkhpwBEstyBfoypt5drfHA4QpgiLXRiZWj7hCJW
lzsXsNo9pPqqP1DK1dIPUSUIqDbP/A54UHYzY4OYU6VhmwC5xoY7V1idkFQTPBWcqh5Mx8bsLWqL
xusFQ51MrYvTP62Xnj2aUDbLJIw6nANrkeCbWzW3+5o3GyNYCHEkKy/8nphoNny7GD8qGZmcZdHS
8QXnmFWym2EE+rqvG+fPVFk4QGIaSAW023DjW5026LIlgb6ggDmwsepetbuBYxM8jpbWfc6oEb+4
Yl12eTgJBphSS14uzkQkf8h88QeczvKOYVkF4EBc8cAW12/5GQcSHkkkHir6245RjICwLypsKb0Y
+zOE7fzl0kE+bIgWl7Rk179Jfma7TkRRdVXyEtllJJmpC6OJfov+2H4g6FjfneiXp7JOCIkVHX4r
RPNeL+eaVyEcUqichIvINpHNueyywTt+cZlTn3YZN8+rbagHp7Z0oNLBKk6Wg9iUahydckPzsrfx
wpAOhaL2fxxLztAjFw+oYi7PrHR80C/4kgZ7cS+1Ip2HBBvN69Hjg/uAtNo/ZCvezKKku5gkZu4+
KjlwZmt01aeKqkZzLuTY76lPjvM9pcNTkTbWwCbK6QfC4TjZPXGM+fhSltdN3iUqVMzgIqkowqm7
OtN63XtxEh4HQ3jgxDYzhk5Vuc4VUepHIpik84yzfBAo3nnY8re9XVKzI9d6/kKQwXSaSPc3dzIT
8G4rcZBVjCbAviosXkKF+ZMiLPbEXZRGL/wKkZXaSFE49yopXyni7f6AjOAu6in2AGk82M2PO6Cr
p7FHLVcbGpb9chQyXV3s7H7DQc+NUoXN/68F+Pmv1AIQw0j+08TJ3bcYio9/lzj5x7/yr7ps9BdG
E5s3eGhfZFSfXMn8M+j//b9i5y/f5n9QA7GwUjlHYen/EWZJnERBgPoa2QRECZ38X2HWif5Cw6U5
Bpx0gvgfJP+dRgBiD/+sy8ZBDAY8ZD7h6hf+c3epmEKJB5E+8b7GSIIKExCjQxS1b4pIFTsVDcl+
7J0M2wC89Z1bN9m1E7b1PquNPNPThOHagAbfTp6AowSdbty4LneQTZzNkToQmFI3xsGgvEk493Y5
a0MnbbkJn3jdyt+rCOrt6Hb1lfDq4thUpTqOzURF2zBe1hR5eyf8yNcbmesp2Qaez9UBPhi8Wsqq
ufW5vlLtlRvX/lkYkSWEpEmic7BYN3OpKolUoVhcNomxfrJhpHWaczT5FIlC97JnhrmgFKduTC67
2WrtrnFOha8D+hKgTdwzWHF6HkPAWWrCReaN+ZZlSvkCovptXm1xQ/vxE1yONQ3yZrriiFcfNCkW
Z9+VxUOm9KVOzK9vbFG6BwN1eEeoj13R0pKiXiyLecW+0ug3QLbadZfwo9s5eVnwSlJQRdpixqjC
ZF8l8U3cmfrs5lqk+VB9u3kfbKCEiQdmyfKqdfp6F0TT8g5IJLwuqMS++JOpEErBcNKFVEKDP1Wd
wPw82B6b5mHsC8q2ocOeLZ0TPuWHdgEp1I7DNtcAxkMHiuJnJ1/tX+EymIdkgjR3xZzqEvngInFX
sSVkkdm4w0cXFbO8mpEUzmGeM6PZ3Zzdsbti9gNLPU0EBErAKHPv1EyTC6zujRX5OMAhNCa/BgDU
XhrqyI/3Lcj0E6WwZZqRqOCqkMXwpnMWrWIf+lyF8SACIkgG91ZMVvluTaO7z4a5PbSMmpdvaULu
z5P4uddDsAt0bOA5NdOdhi/Ar5JI/bLxTUxjFVzj6RFmU8HSV3ju6xjM4UvXOwpCPfa7+4S85F3o
+lOzDVTWHXEH1Ee81RBGZ1B+rxoc0qcMRHkP1YRuQKvIJa9k3JfXM9/StB9rp2ORVV+2DWEoHopo
jI86quxjyNV0z42OOD474+4o++jC5ag1jIZHV+HpDOZpH7HzAphv0q5aplv8h/LKQbN441Y1/go6
aBeBT5AgVu0dtW4EtRYsm6NZ7ytZX9Y+ACJDS3UpQQ1JHynayaEOAs1TvRhWXwpCLDQDCyRKTywY
GlxSKsrgeoM6atnzT1Rmb4wF6prxs72ZZWKu8h71n/hEhJsUt+81u+ju0uuOz4pXbnZXDgN6O5nX
9jwKYFJ7d3YEfANbRPeAGoYXmGGFZrtTRzdD4qjfhgAVqqAiwbmJuFufgz4bDeVR3PJZZYPl29lQ
ypZ33+aX9Ig1YN4OQdt918ncsWJ3ZBj211hyl4Q5kteh82rlhcHxWF7u/mU+xZLbB/mlLy/MsuRv
rleJ8Y6XPw5fkr/zGMUNLkf++NR2puW5wMaxDUbdvNKv5TenohOSOFZ1oUzoYGRGGzmmNxzRQLWi
YKxfhTDzYUy4z6Yc9i+jpGTd8fRwa812+1yTuYspUMMku4lrY39HURkdBpPVN8rtKtZwVrafdEn/
FvA8745Y2vLZDpnzVitD5bzSwdHwFHHC9jm7AN0/zcJlFVHbK5VbaU0A7jufdHe/+mH2U1rDcqyY
hb7VbNgxuTZ/sJMJgGM1WTxzACcWDE/YOi9OvmiIc0wxXWwelkFG0y4agDLsI8k/CtgX0NKFQz2T
6mvr8Ji5BsIV6YsGpkYT9e5Vw8SE79gVM+zZKl+fECkvbpHCZ93l/w1XAGpyiRoFbT5xi0mqG4P4
xOsl9/Y90AB6kEcqL9w+6w4L4wF3IYzXTp3f1YCyrlWMV9TyjTEby2eZALeQ53Ue+hO+fdYo4wUS
sRjT3OSVmp/RoXP20BeaxOq7/fuoLowJRYswLrrZ9ME2GiUOWgw1K9SuC5ii+RtSUf0NrCCetHzZ
vizx9VVL8llIC22kL+m924A6Xz08OHabHBhoPRfoxQLhzheBf4m8dfXDEEVUSjc1BIZzFnqFIOM1
5uw5OeAFWSZbMd8Vc3dFAMm/mnvXn2/I28xHXFM8BYTgzt1SE/zOcG4xlLN6LFGdmDEK/RCZEcJ6
rewPqdcHH/iKh+KUjY+2qZgAWEXgDdCliqYU0gfQDHetwg9F+SiuUBJgr2oMRmyFIZ6WI1P3VOxG
Ga4h4KTLypOuXp3ay7z85HS6Pwco7I+a+b/adtOiH0PPTs6SZ3hjLNd/cAbpv1pD0pw5sP3TcIFr
BaXKiRssN2tSg+IcQ6IOcVCh3a4nV/PA/o18+27qjlL00YMOyJcIu5fRqhmY4vlV5hvkCTquBgWn
5uDXvveHi9MyEl6Lm+Xey+3iOSi86fKn2/G5cpowPwi0oOfSAKTdR2yHUcexbqodqpW+o7uVVaU1
uclrXyfN0UEc7FhI2tI7sjjEfp1ZGVipsOC+tqGJpAq2A8EUOAo+5qG7Aci73sXTULO3BROhSkuT
NPBGFo2KxB13iASFB/vH+CYbkumju1oUXmerl1LdPjySHLI+4tiDExKMQyRwVrP0t23y40w+rpSp
Szryju9anrICmuIx7G18CVUxDj9DXdhsf+gMjzegG/3o2C36YskfYWikMdgOxie74MAOV8diW6eb
+SYydr+myKLI3nng9N9O7AZVSrNEdxoKCVTTn+VXbNv1sSfj/jXSo4qDwmSxhaPNCi6VkAS7+g6H
+6Ys7fyNJIe6DsBTvMJ8YNFhLwB9Jqd7jmdJDUGNPOzs4JwFZ/IG5a5spnJEFmq/bd+luI2O4d8r
YMcrRWUPD9YYjrem6imILtjMoXqzumyg0bOACZHY9m01yl+lwLi2sTJtOUB4APJv0DHGNzFWirwk
nkZnnwfu/HspGkTQqsJetrNitAeLmNHzaMLiZ4QP3yDXzHW368ZudVKxtnz0TN5IGMyqpwrEZadM
yoNhLnI8IlKZCxN4GsfsZWInsyH1oA6KiCIg2Jo2w2ahwnwpDlxIjxXdkAPRS/Q1Av/UY9hUNVCn
qDugdehWLIT9Ha42+DKiqYbXWSRAGHNtUt77nCekRt1TTr77qPO6v+6mfH5CG5jTml3a1nN885bI
sIZOqGz5meMew2FTFB6m5AuyctoBw1zfiiz8mUSmWKTY+XHI3Il62IXNGjoLzbQXyRglLGvYRFVA
1A7LUrjLzsLq/ZuQqLFfC0mR82Y1XvDLm8L4aqWNFL+RqtkF5rqnOmVGZ6aqCwLWZ0+mlIGTA2I7
+x0buTAuLCTkLumPlC3Qlc074MqQzX7oEjG/ZBojFwwodz6Q+dmMsDPP0B8KayM1u9mjNTQx7p62
xdfRusn8hPqFbhVIvmgvqprPyOGS4IrKD7a0RFs/it4Sbp1uyJ9tYnXPCWS76Wh7Pa4DUHa/7H5O
4EA7OIVcNlO/KvxFjzY8f8DQIYtpZNZWvoe0M0Oo6yG5b7mgLW8x6+SvkVQnxZIakeXMg8fFUMDk
+0jCcXgKAEVdj77n/mqMMzzHXszKyutHfExeHi68ZxGo00lYyQG10Rz59MzFvins8dvXSyKO3SqS
M9WLsIRs6u4JobKkYwO+eCjhJcFArGcE4muKTnL0iSj/TRIlpK5+buWmHuuLktF5GuYpZvCPJB7G
kxPO0CAp2a03VJtyBZs0i+i6WenGrW2AcOQO2PisyTJcs75EdpS4zSxYFpmdHIrWb344JGgfnefo
po7t0tvi6253/MzQZqlOMSnd9RRCGdFm2dbJupchLKczD6ufCoQGQGeec3I8rImkMemtCkaAaQ7V
BqwzXGeLgQxgsxNefEH5uuTPJY0r33nS82irIqw+DTVQ16qnHG8Tidg08BKV8+mN6PXGJgoqLFiB
/cLcSIqt3xHFPivY7giH1b+wd2a7kSNpln6VxtwzQZqRRhLo6Qvf3eUuuSTXekNIIQX3fefTz0fP
rKmMbHR1FzBooIG5KmRlKhShcBp/O/8534kIiwXJnYym7JzbioaQTvPV0q0TDhZqhvc9eKOlxSH5
4Sa6vcid1noHhjZ9DkmZ4sxz5p5hzCKfhcjhNg+J/4hyDWXES/VHzF/c/2zeIbcdOaR+i0+nZiNh
i4a8A8UmYtPo5GII7VU3gsdiPaR9gw8QsInDUJBlj5hREqp9+HPfu7aBzdEsZLdq8WLfjH6WpMt2
oDSmDmSwGyaGi1WlkimABVYHX0pSqzqbKdelZaeUH8nJ34B8oO6DFdJZGeB+E/4CLpgnkkfOi/Lo
S/4YTEZGzOhCBp/SVsZ7hL+L6LWD4i/U4/r1ZkectoNr+o9lPj39yZ5+/h3M8y8UvJ5xATX1//5f
/87p7dIwSKseqA7dhYqBrPFniAWqaAnStpm2cWVE90U/NbdmoEhSQn440OBMHWA2BKt//E3/PdvJ
1uED2cA5+ekbcmYI/YmcISgHnTw7pq8g8JMjU0ZzxioMd1GPggscvnbDlYz8dt+X3//4O8/G9V/p
RIwTjPqszUx7BhX9+p0LywLQk9bTloyfZNSxgZ8NudJuqlFCKUtcL/u6fsf/1yGIU/ijyuv8Z/Ov
86/8I8d0HUJ8+7d//eWf/gdFJTjpzH8oxT18RB91E3xkv6hxv3/VH/wX5zdhKwr9rsoZVv2/iXHK
/c0ELyyUpRvcR64y3R9inNR/Mwg0MGtzzb/Wnf1fMU7I31D20OksKXXH0C3rnxHjHDXThP78WeJj
5PJpcvgc2XyW/9o4mOvFoHEVB/qbqjTZat68SRCJxVaB7hC1R8Rm18A0CjjMve4gSiWmbJXOq4m6
csHrp8J3bkQXAwaTgzwqnAL0OF33GnYPLHo5XfcdUZuK9uiyBWmv+5C4tPtmO1aSbUkHuHLN2MoG
uZ3XKW2FSsD0kql9QGlbtW7bNC22ivbutykcaDY22KrSM0G4tZqtr3jz9Mzzj7Ssq0/JwLb2YfUh
frnOeQIydSo1R1unMA6XLiSYdUHRxEMnWBV3Qtc+xuumSE889ZmCmgT45Pvw+q8bJUChAQxLk0VT
p9vRC0Bm9gjgRVlCFXCV6b7r0uGxnhdU4XVXpc9rq3EsPHrKx+FNOiZbrT7TCzxozFRsVa97r+sO
DMc/nenJdTemrnsyWiVR4bqKdQEQW0jdZNRKsldG60Kbnndt+L6ZWcPrDq6PgfJTAFRVt+zarTcH
fywbwT4wGMRcIlF1LeGxdtftnmbPmz6nw5S5rRmMAaAbWbXEt9C+tG3D2C2aphZH6pJmV8tQpZsS
4fFTNi23qcgszqBMzK/AMIYnt8WGPW8nmct7Xt6Hgvr0nAV6P6y9pC+e0zpj4X3dW6ZWS1tzNpYM
DDqt7c/BdcmJN88Hee2GsyHHzB8MBQ8ak2c9PHd9k5wzAP/32GgjmKbsvne42eutnLeq0e8bVowU
toOra169OvMWtm1A+R+U0RvakuGARS2T3yh2msn+1rquct3rWtdgEGLcA1nE3xk7rkVKmulCqIMR
lILkEfytGbGILsjXeVhl5u0xbX/1c3vdKbdJP7xFqnGOmAkwxiDtsn/urrvowB25fMC5xHKEjTST
2/73hXUPnmDdXBfZeq51BBvc9oiYJWbYhfMURzVjcxzwXTXYxenS7dLpjJ2YBTnelJxBuJa7cN6f
G9gJb4YOE8M2YfdE7bvhZG+ZaOMb+7qAN/JK/Sga3V4Z1wU997bmEHojDG59wNJRWVm/xuGh3lw/
wjmQGiGlhnmr4TYlSe1i1KBgaDP7A/fUuDTRBj5Du9FzNqigIjUcBCAR/AcoedSrlUHkvup9WL7Q
H+B8qs4xb+y+A9mqz7aEaDYomLnz0nYhQZRcgjsdG8P8wLwPaYUun1yhXcxuB3c2PpTZRAVJ3Lbm
oepwcizwFnrRhjR3+2rlQf0ZRD7x++TqqKiu7goRT63c0WuG68LHuAXvBfWupXsJo+ZNeXVpsHFE
uw+ka3TLQblFsBx+d3VcHR5EeXrcXcAzV+LqAXEdZp0FkxCPeaA3I7s03cUzwtXV/chNLfyIr34S
MVtLwGPQozHbTTKecHADeh38qJTKb+3ZmDLo+kRbYkvXh5jNK9VsY3Gujpbh6m7xZ6OLNmWSVAK9
joZON6rDzfKJTxQtaClBDOh4+GV4mYxvcTsmtyTX8NNwQzPtBekgsUU4ydxZjf8RVahttl+XWKUx
5mRXj04bGS1J76t3x0/U9MhhY6UXNH7vw4k055a2Qiw/yi6rQ+0X8Sv+PCxBTuNgD9KTVHspZ88Q
m1YdXBEoJDbEBaYiUsTsNnm+j7ou8i+QuliQ4qsdiZhA7DybV5tSe7UswRgDkW5erUw9pbRU3lwt
TtXsdrJn35NztUAZsxsqnX1R5tUiVV/dUtim/Ab/lJydVI0o2g9qCIrHdvZZAXkFEjFY2qN5tWGx
CEWPwiSB+EnqSqzbceo+0EyA6Iazkwt4EguDjjkVOFSD02v2fDXU+hRr6hSctVHIPKPMrjHDR91M
6U+h6yJ8BsyAhawNnAReuSv38SCwmMXmRFRX9LrxBfLFvkM7k++a1qVnQa3aRpb4EhOMbuE5DeBt
8Zv3SXVLq8/eo9njhsY5yGU7O9/w1gTLIKxyZ61NSN8EnJLevvizYw6ThWApkBKQs3631NXkGWdY
dbvkfpo3BJ48DHh0p6SEKGZbngVPu1xbk3dur7Y9aPVY+JzG5tQyZ2dfPXv8ehl7O9IHlLKkLuDk
2QsYz65A6tbEzm+74EJAAVCu4XT00+Aj9OKmfQM53XsUmcyefpOQDnoIzyGNRomdgUio5B1+iwea
IoYVLUgvOV0SsxtXY3vOlSUPLe8mlBSdgTIxv4YgAsGO+WEpLBSSpitoUxhDXJMk/b3S/sbr/9n4
prY1QrquGo+A5LKF7hPRsTqYL01MNn2dF5zE3AdrEjeA43q5N7mCyyV0kKjY9ybxvgWaIfkTqSkL
TlcyAoH2kdGmzYDmOyyGwPnK8zLHr280xnOAqW5aFCRFrF2Px2G4RbLIvjwWbqghHaOOGWBlmlPv
+dFsInb4rh7tsJlqa9GVpN4CrNFcuZwVCVqgJIkMo31OiGIdRJH9EFsYEy2aE1Ze5+LwdkLx05nR
3okj69UwjfWnRvJlCYXBDFe9ji67MC1P3QKSRbh3+8wAuAQJcqFXWayOY5Rr2hO8YAyhMOnDfOkg
a2UrUYbddFvOi7R1ygfGX6UFSshcwCPxMVb+sC9Cjc5ADAjAXkFyIl4ZrUQNII6/dydZfzulB3NL
JT2fHUDx+zStXbnkROhs3Ii6czdNmMuIMVXuqZ8KmJ4kVUcIbG3wmRa1PFhVRVeZh7TJ5bchdNa4
+fiu4xSNVgRLEMUB5U0NYX4PmyO5c1KDjY6UtPe5o27T0UIyjfkpn4yKNB41kNJW5CrUIQZrvORC
7UDAw9zxzBDFujGm1vtHXY7Va5s3wSFJLSdYZcLBzstLabj1K3fOg4EupN2B1g5jUUsjumttA++T
VFaDe18LppURN5U6klZP91ZlOKjIHHaYF6v57cdSCtPsAFV3wa56OpF2CcVygPu4Sq1E3feUuz9L
FBgbVSDM9w6Jl9eoL1vArwC56AQt/HzlsL+ca3P4JY+gtEbCx4bnn4aoxgsvMWB8QFIq70WRKmol
K5vFt1ANsKhugnqUtoLPSWchQcS0Pul4CqNVBSpi1REC7Bcag+m95Vv9DTByvC9eYEw0cwWT9Rz3
TMUcGQHOvhBeebl2AtNJX2g5yL8FsU6sPQhJ/Cf9PB1FQTFhb26b5INBwXsYu4HFo4OHVl/QjDPC
UjdciFNxGtpY38sINzoH9Ej0KQqa59gzDTZKvKPv2nz0bqjU6dY8AtV32lrGQx931G0ahZvcB9Og
PYlSd59FN1hb0bnudys7/WnUnP7GsSztbdQ9zF40BU73fR61b5y/jAtm2QhzmTo1JSHZLPb3qe7s
dYIcL3k4snFoece8KJOKDtpmsAhzCOhRvM1BF1Gf4UpCjr5EgWRS1kFkEWlliqmRoioqEdnZKbtj
W01/rdyHtVDJptRhhCDlX3e8QVCOWw+eWHiYGhXfWK050khuzsalMEpo72rdxP3ZgV/6UVcwXJZJ
32ZiXXOXejajMcAvHfRDZWx1NoDakk9vYB6wKrB3lVifo41FsSt1Y8AdXO0jr2p7N+K4dPIVwU+2
8kEWTYi9U8d1Z4UBI3deMTsbzoOFTRWCIZ+0wkQvNiwbpmz7YWENrUdfRZu+wT/aDIm99smIadsh
M9Ve8jzxwZxYhBwx/xWsQKTZyVtW6AyspIQQnxzrovO+mQ6xN3r3sctMcKZuecpoEJlcXxwJlxOM
DQAgJuvU8ds1TZu6kkuZdmD+FwmWDYhhWVCW5SmYcsYjkn0tCQmjSM3bJpKZd7CMugvunN5uWY+H
ntfvohqi0kBk8Z7tdqnho2AmuYyASqatW46W3NTDFIR76Gshxma/qNIdK3WIiKSCxvo9nUb9w6Wq
Sy2KkZLI91j5GX7FwTfso4+KDxO7DnsW4+iDmGQFlsAQrzrVC8HKH4X+LlWHOlc1Vd8uS6+YzVzW
6B55fZf9LnaM9mCOqYFv26qNXa6LeNsgxIOZ9NTwGGS44fdjSDp5E8AqogPSbP3olJt2by/BAwF+
b2JRb4jFddqq8Xu1Jd/oegdZgQ+lTN7h3UXRre0dMhDoJSj5RsAn5s1AjkPTVFK/DXO7QFEOY3pK
JJ58TB74NBDQUQ2LAwUFo7tjxTMLd1ZqB8+8pFS9J9iTMebofX/seomVCEJ33aVPeBHN6JPqjS6/
99tmxA5WYC2BtsSCTq9Vd45K132LGO7wJ49NYa9q/jj4pasQZLbhszG/CTRgSmvHs2wTpJLdbGxR
lbRVOJV2w8bizY1gSi1KmvjOAZW8P1LTK941OcDWYfV8jmr/IepKvcWhHdd8eFx0/sUkO8y/gyrY
engYjQUrKRIL7Lh/wibVxJ5OPqzJSAz4eJokGH+MfiUl+pwBkQnMaE24lWRFy2Z/2SqqrxbCAt/a
yVIzF72ZPLQ+he2rjKjLjT/wxDK1eEA5PWcEZeJrfvdZ2047J+0dXfEWqlJc71yFqVSvKxTimhrG
59qXPn8fzoyPSlhf3Y208okTLF2KkvhqmhIhu+pU/EW5m0FYCwaQAxW1qIOf2V8lRz+dzKWon2rW
KDxeUVF9pJrK9ngMtWWibO9oF0ndLpt0MhR0AQvUwpRa8o76VcJjRG+3YUHJfIRJeAIBwI9D9Wou
2B6aCz95d2e6vs7X5zY2kn6q94WeDR9EqvxnmjublxFfVLTFly0OnTTsfYurChCwg8jr474uljEr
I31p54Y+1wFYhU5uKNKSW7dtMZWQvE/djcYf7LnERnvjwHFLFwPhzB6PqEfjbsFlf1VXnipXDcn5
CtROpHerHs4BJ3bpqvV/r7r5i9hZ/9tV/PS/89VH8/HLP6yv7r97+rXGh++aLeBVGP3jv/yv/st/
+S95CHHw6bZwUY7/Y3D1KZxyPht/Vi7//mW/i5eu/M1EosQnwl3m79KlK9A0Be49dqsODUISi9/f
fIQmX6FY4uoc4JZhW8jmf0NXG79RHqcsV3ccg69V6p+RLo2/2AgdC4MjNEWFf8Uw0FD/ooKzDJsy
9vDdLuvYrFtxVmx7q6QwPcKSVNXuPvS6t2hmLVt++82B6518K/3PqgLQZH9VUK+/DyF027JtmA7w
R35V46XrEzXKvQ5zVQ3vDtO1KeMNfhLVHgM8eeWupIU8DW8J9hOOtjixaJg+RQF0jLKSl7a08TLD
TnyewA/q2Y2MhmIZ0hyy8Lg09Mq+KTgKGaIAk1rNPXGwreHVrDcLpa/09qmvoyN9N2u806zA6zOJ
nLs+9g6CLSHbWVxqKZhqet+jIl1EVnxpuXSta4REUnI0i/E+XVmqG1D8fAiBA99o1TpgurihvdZ1
cZFze5Q37iJfnntEKO56sFT4wdZSNq+B4pz180nf2AQ18oE5OUsNuhR9BNRTrqEpAKPunBctnh78
KHqkigSFYdgJaR8yOg2jmM2kXT4OwyxfIiaMQ3yLns49h+ag5YB0tJMw2BjVbytnOii6PMnqUMH1
rtX6k+3z7Rv7VFnVA33xW9Hka2PQVj2hhwWXF3+pXLEc23jdjMknPr2vsEQEgABirLgw/RTu5O1r
SwRE52S6K7ktERCebhqjP0G/qeGrBcmiN8RSjuoRmuq+0h/qzF4qXSr4lv1jOfhnHLcbdjGMH/SI
M8+M61CtWHIegJI+pUx5aGEmiObHMht+wkHbD7X+NhHiGQvdXQR98QpQZTNa5G1LyCApldGpRwWY
7T7x8VrE1oZxieY/UOaroemAcHa3vua9epQxdko+VNTZwHVsnwxJ/awBzhB5Xufi2Q3RkqlilQ9T
vzAaqkUruMcx901KYN8jSVDPbHDhDMmrzUezDNQTJXs6Alr2lc9+UIwOpJ0wZgodBT1qfugN+F9P
99CkxwOXuLVt9Euy1C9RalzM9MWuqukuivv4pZvSmzo2772h67bOiCCK/bzfmwJoXYdWmbkrVWZg
SuJX1XrfsZYjwd0V1lONmICrjqZnUej3eHtJCvXTvvCjF9PI+l0LO6+LAqDQ9rEbypWvLMgV8s4c
7yunONm6i3khoPDRHLmUuzUIStKrKCvnBvvb2o+anTQxfzXMYujHVrxzgnPnG7j00mXl7uHSEAoG
g89xcA5DSH++N7wUU7PD2vRJTQnJ2Ay1QzOqU4mdkCeHzFSo5JpKpFXthJ9W4mzK+IzVetkXxn2a
YrPK4ZcgBOpOuuvmAH2DFjFNCnOLh3xDOD4bbHQEkTJzU4LSGbyFKVm8JVp5CARUbjE9hZ2wVrC6
30KE6GUcWms1WZR4yA2koDtb1FshKMybHPuGHO/aL4MfqjPPhhfNj5O4c3VE0LKx7gjH7YfYfefC
tw9b6yuPjX1UTvejjg0AJ0G6wRGxs0gBH7mzIADbg4NfMnpg4VcvJw/hVuIqyoxzpfDO1To/eZAG
vq7tnSI8pWHWk2SUeFqrboOOMxtFrDPT9z02NSjUWXEJZ8AuTMol7ZPcvOviE1MTmo96TjG/Kf6P
FW3Om6S2AAQMOWHD6smGBellzVs7psUuQFhYFrbzjGD8aPe9z4L5NNgNOH02KGl10TX3bpLlW5NY
76IRG4D3R33EMTXGL/HIgrsp+HMoDbgCmJFuXE9c3R9GU3vglrQfUoPLsE3MqoUg1VIlwKIlZ7Vu
VxFJl37f685OCLmdKCGUMevyNvqA0j2LC94+KwJxwldTLrKSS5NROt+M38+DBUsF8vK67MdNKd1i
GZhJvabQCF+Ike0c5GUxR7jLGnO72+jbRAU0ZEdchnPijGhua56wW0pCX0BOfI42EVwTeshST2s6
aG0eDLoogwa4jeudM825aL1z1LtmbmMGph/Z47au4pPI/f3km98lzdxoR34CI6c+TvxYMaad4q7f
AEJnGgVkvRgrZGg4KQ75PJ+KhMFbY0Ilbl3uEXegdprauSq4k46BH6+NSDuZs0mBFsUvSgjAPSYP
ekPme9T8+zppt6XN54GSycCO15WyTy1Kaj6Zh77u1wkLHKy6se3gXdEaTF/eQVlvrYyfvLQmIwxM
fqTotIeckXMI6bm3aQJvW9CXVuTv2OdvKZV9YYG2B16yanDpwynZ9V1BM162MjCU02qk9jpaKeMz
zin7sfT6VdmYuzG8LXMm3BRthLnd5ZPuJMYro9yd6LvdfJdd2O42bKgns2pvN83i0NBVF+U1H1VM
RXVgQnhU1YvjVjBGWkZriUhHFWDSHrlUDhO2OmowKBar7rVJnsaBkwuT5MLFwLrQLPtsDcF3Md6A
T1lzX78Lhp8pwp1OiVIUTYtKl3DScorwaHLH6H3D/LaEUv0zFNlX4Jt3UjW3UlW7MPYvuCrXOiFR
Fl3uqxMNq6j92VgUPo4cnZBHaqu6tcqBhzBH+raeuTIf7OSdXgaQN9m7r0V4EqNjq7d3cMKXMrc4
XrzgZHFoEVS6ryAd2/1wi4GbcnPMhFb6nvpasho189O1sbC0YpcP48lGOcMiKon1GrtUksE02o92
al/ZHK0TeqOw0f2YquwzlSPXw5NDTW9GM5oDOo+AYHGqKfVNE7zHkbPow0eRHiSHQtCvTI5lcouo
6qwx23UzpNtenqbI2ffUiOpu+N0hWcuEPgsTSxC5ky1kZcz65SKI9VPuI/kkLi4WM76vMsKBE4I1
7bYBOFV4H2/BKUuO3LYiM15xE9wUdXRbRPXO6Cm2k134TO6RHPkkWLPwx4rO9rTK5iqFod/laf1l
uuTBwhgjNT9AcowmDM6FGpI9gHNKypMb0EorZavnaqg+XSjr6wYlfZF0wbNV4qy0MMwCVU6fBkOZ
9/3kUpcd1M7C0HUGG2qZt2TIlr1WHeIoWcaNyBERrDME3zc/Gn8Ir32pO/b6Iylm26yeKeXd5T1Z
Erta4yNZKtFtWaYu1XTpcBu2HLwxrAlppQ9lQZzdq7ejAXmlo7LQP3W95S77YDi61HkHFEi7/c8k
wFEU3jele+hTuFgN2JL6AF16pRJ7OTygwGzyehMo8DZeTv8vKgrFmwHvj3Ct6e1Dy6sIAEzLonA7
UUJrixe/1x/CVuc8cLahf6FLklC5tcMbwDbf2RRVeyQBdN8ZZ+QQSCJzT8y7RpxmKLEh5S20nOiz
75ud6sUxLBAFtXI4EP7Fz1VSxpg9BzybY+4fuP1jiMt3nstFoig3YXMMjRFRwblgcts4ZvMBomKh
6267sjxu5w7zQ6vZL2AVcuTNZ6g366nU9q24cTGyhvh0edHSaQVLCOLJo5FeOgvS9Wjibajj0l14
+Jg4rNMnXyd7l3VkgVw7PWLQmkfLejrYXhafCkelPzQaztaZP8EQ82TFDFm5zavVx/kzVuyOezHV
BdTYjz8zMk5nN9KdUxXL7qvrcyyfsatvLQt1mfZUr6PtjdWKY8Ezsyz9B4Gq4N6RqbrRKbSl+y1W
KWDZIn7ObddZJwZ15VMnZ+5QE7yzN+x3CQw1JEPNMtYNkvUhch3R4gOOabKQGQ9sEqKyjP7Orkz9
m2/p/AC4MH1qqdJ3qQWzkpZW4xFlRG4giDV3TjBWBz2jBwAKVPXIfY/5mMFswP6Q1fdlGssLFUrD
UnNL3i1RAL/PqGkb6Ex/32qj2NiVzztu0oaVNxrO3i814F1pl7jbNi/KU5bjzuVdQysi3a17zS3q
k8iQy5KqrQ9uSxyfIY6r11DhFbcpAjk1pk1YTIyn3BEd8ww0q8ecfdmzXunjj4Lq2ZuoUd7Gx+p6
Z5J7ehvk5N6iUIIMKSXPj1P76adDQfmrlrDiYwUXRHdm11gXy42CB1fq431NQP/W6CvroTOj4a6C
3oKh/bkjtVw7XbV1UXAfPPiHTxS3UpCSkaN/w1MI8YkynpWJaxCint3e9uFkH0demO8UNtg7EJHO
DVi34ZNITXbGp9CcWQzXd6ix0T4NMTZgLgJw4s+qHdZEeDMZrc7M9Qu8f4rsM8Z86QkD22BEA3jg
F1ti7pwq8RiOuArZAMVJbywNGVgvRNNYo3M8vUdWIm6LgS28GdnGjTZBlFKz/psm4Tkf3oeAMlto
Uhg7k/FOiJE3aZGO3SM14vQchKt6TLc4UiBhl9MPK4kwFvV1a60Kr7t4mnpysukOEsybCpOdaaV7
6nGW5oTcZjbhTlPDDRXi1Ar14JBsa6npQL5NjX34yPtXt197rST7FulLMh9fKuFlJqIPs4rXkKeW
lMxuYHdQ6QovHI6KRTFpgTnr1vFNfYvu/zKI/CIycx/qzm1itivTmJbBXD6Rt9suvhU6jatG467p
unmF3grizA+ZKFN16czuyYOiXIyK2DUnURjEx3HQ9r4z3kGe7PaFUVKvowlCXlkXr+JJ3I0Om3dh
YpaIsrVbBqcy7OtNHjGU1yErRWFuuqrZZLUmVsW6xr0TINzn9Y0bzPl7Z+Mn2c8iq/8Tn6W8Oin/
bhdz2JWStwD2q6Rl4j5z/yK6KMqaosZS4KeSF6754c00tMMdsHyx0IxkPOgqK2+H3J/u55zHQx8q
62JEdXRXUW1ADkNlHaTqDn/19VGJ56cGv6p7a81PUjA/U/H8dJXzc2Zcn7j52csnP37sAZ4xOvNo
tvMzSmirOI3zc5vMT7B3fZjJGNWHNom1g+/xrI/zU+/Mzz+LPn8NVLs8pW7tbvuWlTe7aJp4qNVD
xjYq7ywIS2zou/X3xnzKwAjq977HyaM3lJCXLJMvNtDd+9Komc/9IGgeWcfWj3pep7QZqeqA7bO5
w3grN+yAjUfhWZx58+nH9nL6tOYTce4b/RbzKYk8Hu4DitUhlgSg++bDtJ3PVQ322zq9HrYt4vZu
jJ3gPSuYM2AUuA9mFLvrQIr4mXpULgx9z/GtB70ivt4H96abGz88VxvWaekuZRHxkr++BGjbpA1i
fjNAgu2+vPltkc/vDTxM408y4C2LDN4q6Dn5szG/abTrS4e/zZz9K2+icn4nOfPbqZ7fU56dBPth
yIkQ8A4L5reZwWst9ELhL5ypnr4QCW9m6yFsXoJjFHyk+qsz4tJajGEiXkbLRtRidzm+9e4A8GCU
DjQ9HwEq5rO5JuySL6aUAU6EOLXlkN3adZLRRUYNiShEcFt0fPKw/+LVNrUdu1r4HmZlex8mnrN8
l5ON4HIDNJIiGt3GUthcvyP7k3RpsyK0eU9rEGWdPGPvVud5Qi9KpD6cUoibNOKQ2KoeDM5CsfPg
MGu0jIINyOufUi/uO4nXdlXowio39Hkxl3BbWLalhuGgSxXWp4Y9rW7BEO3K8iHgtrnrNfOtypBy
Wr3jJkH95Wri4zsmM2ZkHNau5l2iqLwkDdlnjTzxam6duCXQRxyIC/s3l5gXzdGtk2xdd10X5hPV
H0xAmpAEwzpaLpvAWRJHSx6cXrEUC4d4zYu+Xnl6HF5svUHwB/kC8k1dcE9cCLoGcFnceJfZjNlt
qh98aTTrrAuGYKOGjqGnSeJVJ9V7aOhoJUb4Ewo8KN9yoo4GxWwtjPEIApa215T/HHtysKRr7tVq
DWKali43YAOAIVW52JbkHlZG59LoNplbJwBqnGQ9nhC9tDaIqcgqevXBDvueuZAgriLJwfTxVOTD
cy7S7LHXCq5jThJszbYF2e9j6DwGNNGtktjPtw3Oy3Wv0XwiqVfaOLAzwR529aYTPGu5g67pgYCG
GzTalBHW7z2htf1oxOErMZ13dtFMEFaBtc52mi2lSNXWmxIMNlVInVqaDsvKqLElFIRu5qIFaMTo
i03EwoteqZTRotC5zp+tkroPXzIxjQFX/sAhxZCTS1m7I7dWltZshNzuwtdZe5KRCa9dIc2n2lHU
ATaWtxcFgFQKDMNT7tlfRlHj1hLaxKeAA0Uj5cQt5mck1QVkmbEk8G4vhOabt0VeREsyqgSk3OCr
BrG2SKKaV3tZpyumAiKkY/g5juK1T950Kzo1UJSIGoUkPOwzFe5iNcbZT1VPD5iXWCE5OHS0pEkk
vCxbrLl0+Fh/RbeSEYejAWB4CUaXl1VuVo+dIfQnl6ed26vxY8h1ubbK6Mmukp1RcXBpZJS4GRfV
QvlGcCT5cjPafTAbL/zFUPGSyDXGAQTp244eJg9rWV7uwqbL94HQgp3f+9Nr5MyXTF9itgE4ztfV
NiyVqOmmdy+MCTG5ZgDhmoWYaSF6YS8pPjC7yL1PWukm6N1onzRmfefldnPuai87W542QMuRTE+i
tHfEuJr3bp6tynnKkvO81V8nr3kGE1pj77U+11bedTrjxDWf8K0MQFcY3lp+4v+9G6r/qf579lFo
YnPA4T9eY62+kyD8yxLrjy/6w4Fv/yZJhxiWwt4u5//9mwXfVpAtTIn13XCFnKsK/r7HcihntWFd
KMM1MEn8uYLVgaIh+CqmIIMQhvXPVbASAPjFgQ/WgU2daRro99aM5fh1f4T6XKT89oh6V2BYF2Vf
NhdYTv1r0DXdnRz6S6tV2kNGrhtuaBIUXBQYnq3CwB5p9VHylsZV91GVebj3YrddYya0ltPElG+Y
1OOFSWjdc2QMD/zyPGdRX5yRY5LvSKnPvq3VClVBW5fAgVYqN6G3ur13KYWfsw0w6heZm+kHPXgA
NgU3kdqL4/NcXhKzSrlJDEmuUZKK47ClUjOa8APidF25cZM/UmXyivvTXBq9P98gymGtNI2aM/ol
FwNQxRUaL/z6sXzEHhqsAzDCOMgb94FUQkwnTlM+mqmprWs/glXcE5l0KlLpoReX20Z3+xeBfrar
hZf8dL0iO3bSDz4ZUoATjGCM28ypCYaLdBt5nuoWpgIZhXfFBjIPV99YlCyM3mHkcFcxrXatl457
7I0BRK2YSNjN/VjDu0wjQBUU7gGqKEFnvOX0WgCIAEkA8B1uHMBW62Q1HSv9cXa8cjjVQIAMFDbp
TAX3dDdHdf//R8J/hY5jKNgxgvTLPzoTLt/JR+Z/ZB+/nAt//8rfDwZwODhe+DvnWiP/WGP/Dsqx
7d8Y9m3TAXw+s3D+1GBiuL/RI87MyntZOI7u/AmUY/3mcGKQyHIIVqPI/lMLbn7Fv5wMyrKkoQSc
Lo4FaYq/xNrC2Alr+hj9Ta03DwoP0y5tBrHMfavduFraf0fOyJtZue6ODytYXMpCNh0VGTs1pVxB
uDzq6w6jGwFno7fuazw/G4Oe233D/MtZggPS9nx1kvQW7HF+5JsGVw7wTS/fTMkQwdeHuvVZh55e
n6KZG7SohlC9KssInhvul6cyr/IKmE7zf7g7s924lTRbv0q9ADc4DzfnIpM5DxotS74hJNnmEBwj
SAbJp+8v3bu7veucKqBuGt0HKGygAKdSyiQZ/7DWt/JkJQec8cG0wNRl9IaQNvWico+RG4dsquUa
Qb8xrnAefCb5IjdzHZ5CocdX32be6jWtDWTB8vNlBWvYhT1K0FQHs1ysK+nKA/PW4gvsB5eEA1pJ
ZIblRF/BTsKo1zWKwzsxuW6zLlz4dgBGI+8yJGFeI74PvC+1NMc3hAk8YBFR94c2KpJnNL3A1G0I
G0D1Oj+7zpAc8FkYEzyAHkDyXV+W44usyX7ZgPQxT4g869VIRICFaWSfW0p/NkzyECcRCALvXqm7
XkwG8YM1WLK5tLyXxNTOuXeAW2YiMF+NpmZ3jhh0PMzdqB/GJK030knT7+EMvmGdst3mFy9pJgS/
+5DVK68J5b4BWHQGEkfxztdcf/gDdFKVmeScjblp80uSJb/CO9zsBK3nHTruhDVvAH45YQhWEorF
qhfVeb6zfbod/ETy4GZJGI9KH5tAkcs02HCKU509DhPhSxqGicVAdanPFUFeyTofFv2eZl1x1FRs
Fy6ooUhWftgaO58R0SYtA6DMMorHSTWxgGmCIFH6+wDEyUurmh6vq0FXbwCsMIygQqI5dXcMG1OY
yM28Nnrt3GUkzG6Idk33Po3IiW+UQthQ3bZahPmtW5blmLnM/BqnhsZbcKHKRgcfPZmzW9OZFNG5
mJlBHT53RHboCAwNq8/sXohJr+1Itl/Q9TO9G0L3PbeG+ZSb0kXuSVCMz4DGCaT6aprtG0GX8w2k
T9pGN75QqOOyqoceZ30QeflTxXgfovN9y6BsyLwjjUYasGBHiQ3zf8KeAgNuYH3at+3atG0RrFoy
tZ+5DwDQQI94jITn13uzn4pjiUjtVQVm+IyyuYF74VhOuOMfMeppJwfjdi7L+QktbLeH6eldTT4+
tZp6rEl2GOUHmhTc1VXjuy91EbpXryIMxZI3Y8ZcAetOAhZE5li2WwkcgLZlStQHng48bsMQRs8B
ICeq55wHBe4ZecM3+PN95uZMEzrBsr5ITOwNS5jet0AR6Q9gNz1OYTiDJEIfsHEif3xr8wKHW+7q
40yWyRV6Jks+7YAUZ8PZsXMZrEfqnIAVJ3tPqDLe+BxGhHwMVcBASUOficq8ep5ZYsg9aTLuB9d3
/jPzR8dhFcQGdVXPdvZuJSWjsQ6vH3aCLAhIuMM8PpuVjR61qJxuK5qi2+m0wwh0s+/t2kHUd8jY
necRt+IxkZ79JCrlEISLxYmmtfbvM/A6VWz7nbUxJT6DHWuv9G7RhfWAOt7fFUTBnvusrT4LLmG+
1cSxXxT+sHMplLNJrKXbh46fM34tQ5JOKgTWOPwJ3gycxDz5uKD3UafTE47+4myFQmCh8TyylyTN
6jMgd3iFgV8aVFFWcA1EXz3AoDEfXXuyiWChfswYMOngC6k+Jm4R3LefermBayqMNIFJePBaet2a
LNdjwSqPe75AkY2pasQ+ZDRil1e6UxuRh9nRgV2511F9NQsJAsAyPCNunVufGvXWfgqt6sEvenQd
3LgbBQNpJ/nPytJL/aRGRP69yjEq5dEds5/0IqYq/BROlF90moitZTfLsZP9eEr9yt4HvWd+iKUT
l3Fkml/UCfFVlRecIC/yHdopaVpRJ+KSwJY1z6L6VM8zzDACYvUmqKoPS4HSKC1DItuoEUxkHfjz
4Wvhl+2OWz87WMLfZJ2dxUYhxu9EUf0oVBtsfGXM0E6snHBrxCSl0wFcIlPIGzwXell+Zxsu5NrE
Nx4so0ZHvaQ1PWJyRAmFQafxJ3PTl8b8Orc1A/PESuWDnbiOE6eEmG6ka+MxL5+XKpjAao3htsna
1xJ05KFse0jOMv8oDDggR9sFCrFq8Z7GxEshhDGHZdr2iTs+WmwALlDaGFWItr9KBk9B6H0bpnYP
oqpd1Qp5PmSyAU8ttK2wsc/U9Qv+GYBRpPvJKIPhHzVobIOhONlOHYYrhfOUbZiXlLs8g+O/Gqji
d51THCXkHiBn3tzNcJvBCMZW2CPAzBvd7kdZvldzicS99Ic3hxDTCKsAEwiCtsddnVkdiWOO0T12
fSl3S6dDZCxuSJ0AeR2OfyoqHETQeMBAO/CVDOdH1acjw7pq9NhItX1GMWOk5LXrIcfo2CrOAdBu
ENRmm5CY9VIW/mfdKDbOfq/v4CaQnFMTBxNoDrEoImQHGfOlacI7/izCEVJvLp4dBVdnnUS9btZW
oqcXUoK/R1zub4vnx5Q9F+jFA8Pzrnjngdg95j4WEKYslYOYQSGYcQj9AC9nPxR0/W9G2pk4iMvp
WDgSnAGcIuY8up/XTiQh3YTC+1C2SL6lvPGK8K9pEyJVhONjBFvptPJLE4z1HtMKy8mAKFxJmFtb
JOkL3F0WKjiifzqwe15xRrRbO1hYMd4yevN92adyr+vIayHSyjbkj2dHhRayvucMgPZVivGKzh2y
EQXZCxMKcSSpeDp2NhsPnM/moa28ngMp8M7LWLMlwe0SHuAqw36N+uXT7jxzH6a9ih1sYVtVkXEX
V5a3E5m3W3rxZfaBCCC8jQNPA392ZGwr8FWmToD1oDOHvQdrWcsfjqup5xouRXTXKPoxivMgjqte
VzF6/xjfwIPhdM4Raa97IN+czg1R27vH82ytXEoKT1XImcPa3LZ93nDCQIIt8EQ8+IthnZm96y2+
oeRSa1xepCowni/rNibLZO2Bzrum43Bil/STeT3w7pFjimAlqv3vA5IaF0oZuVqUWtdIoL2qU92d
CCDIdsYCPldpTpVIWuNzDzLxC2THcj3l07ilAbyaKbJj8o+IbiY8DGsWGyGlyTcR7KJWs9tGW4dH
WbZ2nOmNF43nvAqWD+SJuJ8Ls9i6WVoTWiCcr3zeIVs3fyBsoG3zYNtmqH88hFL7Oncztr1B8NDi
HV4lQ8twCtzTnQ3y75bimjyYWHvPFbacM7g2gfaoFd49dyjZVG2byTN9SPVQp7b3A+ptyjIsqZkZ
2NbVG2z/OMjS+xFlSXTxh4jNkM5IIZFdd2LD46JWhKv1Bmisv/DYLA/ATYDcdcEnhr9oH9TQXlO3
GK69a4VvLrOETU02W70Ct0xTOztFeyHVFjujzJ380FSpUjjv2pmnB5a9dJlqtFvNsI8kedNIW+ZH
KMYKBrQcjrhxk7g2ovroTGJ+0Q7pN1OVvZJckNzTWwvMPGG3dwK2nbNwdg5a/82MP3wb5Lc4UolA
cs6s5ioDVo+E6qWAozCy1SYPZ4BeObA24X01aWX4mEO0KQMPPOrH5jWrcw/8fCmg3NdcwFK5mG2x
KqyWdCBMHapU9pDaDA+rwWe0DTTmM5lLsfbJiASHZfPOsxq3ioiT8xQE6akJ2P32Y/o1vFGgbRY+
aA3JqpMpCivBDLlviSMp36exGe85USdzRQ4Z0ltvUEy7jdg0Z0KrcP2twlZ/QrgZMOa21RFUD9yq
YiTh0LOsIyS2cmMrYcZThWFTM+ePTDABMKLISC2/69GEcgMU5FA0/ChKWHNl6lJ+zrjgT4QNp0iI
81JsbWaXLKbI2AvJTdpiuObjc7V7Z3jhvFsyIe/xJNVrUmHaD5ML5sruaMQy0GvC64tgRetDOUH8
1L7HustOzWQPnObzU5LkinqhKN+FFS38KRBCq3rJPmnG7MOIey7GhoG4EY/QF8NY9CMbZ5YkXe1Y
b3XQGN+qICLQIjfbvTfdbGd5VLaEfE8VTQ8g13sJfwFZpEJmCfgB92EktmE7zwFilMaH+t+RSNQq
vi8Pk+sraAfNlYV1prntbupkuEDMXPsdR0oDRMwHZwo+iWQyCv6xj87kW/LzW2CRhPnGEVY+ylPz
KHzJWD+ofnR62hM+/hwOIT/GGvN7PP5Ey6H53aswSLezK9k1O01/wCzdv3VmQzTKiAkoChL/xfDs
CHxlk3wShs7xOQ81Gg7pRTu+HoLoqzG4APBpz37vVm9BmAzURp53aExKWsy17Eci1scbq7Rzc092
EKO02jKmc1fXPOK7vIp25BRiWtcN7lN0k+E2kUX4aUbY/1l9eOR5lknwLfINP1ixKBcvLSXSpgVF
f+3JuH7tWPns5iwhm9d2pne/zirODoHUsxxmoA9uvTykuJuPwlumB0MpTfSRFoSrRKwHEhEsh4VJ
xWOEb/09nZN850sEzsiJ0PMuyjkEs1ttfKHlJcSvhIWSZcpm6C0ztpOueei9Hkkmlnj5w1zS8dmo
fR2s1Oiqi+/BCtCEtcHSI1ngrVROt4N9+DMXdXR0swzHFiYV557BHMpbvLZEGgocWiZs37g1vAF9
6GIfZWLbW2Oeq9fBE1SuSwBugtsd3WTZXBMGetcSGTOgWLXMcZPVuoJ0bat7EfTtHcU1UDEcsjMB
YDaPmo5D9DFFLh2x3vfKQ+tX4Q7siHwqWmpYNl2i2ldMgWOiksOznVrpuivZz/sm/MLmZg0lqCV9
cYsw3yUyccJVtIygpGrfXnlKL8eK8gyD0qJf8XuOzxFV6MNga06TpXBeKntCRDQC/E+DgbMo0cuV
hJwWY1NrpmfpFtalVoS6kghNzmhRegezRb25WrqFoLWm8L33EUo4glPhmO/sk0TH8GCZvro4epi1
FJFi8NCDL9ykDDPRdyhr45AlgZg4MZYtc8/2wjnevmVT0r6MQedtltalMQh7ZJ+h3dyBQQnJ6RDB
MZTetLKG0Yu1YVcoEGdKrILxdrcKinx8tYIeRwIYpbvEneydVNbCaksL/22xEoOiAXk6iRTlyRAe
VWde3OThg9ttgi4psIf5KV9t+N5qJiBZYSDPnfKtOdOD83cQNY/XbLyBf5OQp6vQhlDr+jZ7sCq+
JVQcRH8YBAc4pUlOvVADMNOl9z8MwnExZBeUS+RwII0NjK7qmVm1iYnUtV7zV1PeokV5ypOivOSu
xy9rTyjJJxfoxn/v/Pd/pmmJxY0D3esfb3su73XeDvIvc91fS6Lby/40Lbl/4MRBWhAyoQUm6/4n
/xzf0g1wHnm+xzQV6BET1//wLXl/QA9jEcMen9Gvw1Lnb//hW3IY6/qIXigd8Fg7zr801mUA89ex
bmj6POItXFU8thkuh/x6v4PDPOICWsMU0b6QebWf0c+t05yHV0/L1PapnYL1nogSKACRjqVH5MYy
fakA9T3RsX6VadRdjI6cwDSpplOALvmRR+MDoBfmrGQA06O7+d5m8wq4TaXc8zJ5ce2wuvTCOGCr
A8U6hMOJqcWjgYMqIdko+/Bw56BUK+q1PZb3RVjQRBJLRYCY8mcUjd3gbo0gj5a4ZTX7HM2kc00J
RSvS+/YiCxe+Gjeyua6yBs2GmRS4DEWwN+rI9fZIbqYnFA7Za962PwSKhiBO+1vey5QX36goPnRk
m/vcda9FTRshmE2fNAd9rBwXz6WLPgUVROwON3kRvOyVwiL6yFwTwLTw9jOWaqY4ZAHKnAHDIhGo
wV5A3JflrzhgfB4vFEmoroFOc151K+05aAnlTQh7SyFk1LOVdmWRwWFTc2iith9NXXzXnnJj9PDJ
2snmX+G3Gkm4Mr9V1gT3g83xuJtR0q+BpKZPI/zU3tHG0zgE5cNY+saOCMqkjls3MR88HdwaAQas
5Zot/GiuLXn7mWBDwGgKhJsUEZlZs+zu54fEngjW6VyeMF4t4fcZJLLsyzZLjQMHU3lqpxIuT7LY
NwTFpESCYCnpCd8gBIqkMERhvS0TeVD4rbIdK//x2PUeHuEsWjo/Hr3Zx0MWmKBomZWUaKMrF1lo
50wvhAVRGIeRYmbhBl03o2apULfNxhzd94HAL111LtND2GIe0YUsEM0VvJr8tVe+vCx9T0yPxdgZ
aryVuHf0QhVAZ0QZmF6IqEOR29Nd1eOd5zrKephFT3xxREwQSls3wH+uXSuZbt2Z1o8Fep5sH8zT
0B25whxy30LinWIVdPaVdWL9s2nz6hRIoF14vOiaKaU6BA/FnAfH27ESYd+SN7Gzjh4gpB9CgUHX
hg/L9ABbGCGB8UgjteIcTjeucw1N95W+/X4qSthcjNfXKpf7rCdmFWTUpWyhnDZO8zg640fSuk9D
7W9my52veeTsvUpc8Ll35yJNYkc0Bz+7MB9nkEM5GreEbrB94SuztUfMNg7j1BTOPbQd4weXc9yE
9SoazXtWKkZcT+GDaXbtttETiCrP3EaV3cb8qT+d5aHqR4pgXmNZ7Wtl2MUDJyO1B/hnLSVxfllw
A+MUftwI4/ut8H+KiMBa+Ya6h3HFkAZIZ6cZ14xemO7R4ZfgkbPnyhmznRAElFBApfvu5rDz/YqQ
+JkFgVU1aj0vRMCx4jXeXcAqqy6AFdBkm8XBxDu2pAPXoQnFtnHiAI5Wh+4fW1oCseAWSuB/i+b0
CVZGHueI3naawDJumWILjAGPkUNuHCDc4HNxF7WR1ryxwkmdbbuYUKYyyqjLhE4ieOLRd0kLxG9O
N9tHxprbvvI2c1ESxjjb/q6L5K5qw2Hn+ub3EiDSavKhTIvkzqE4RjPu+ltX4Y+hOv+h+1B8DEv6
87fT6f7/RlOyPPnL456iBgkBtldkL/D1Agyzf33c1y2zvTG3oj1wLXOVVYVNbUf0UZxCBb/LEOrk
a2MZvBadjFAXs5ny17S45Y0yVmBpXfk64zkJSsLH2J9E9wXko2iTTkKS45Xn0LilJcilzCGHvzSy
tj5HbOfgT6VmZIMZPIDjWrGJuYnsJbZ1HFlHYZGSvsvwPsmDtDweFnWbnFDIjuPW+/U0wdPAk6X7
9ZTBwFOeJiLf0LkDQ7OxP+iRXY9kmTCYrrENGa4/9oWBpKrszOBAy8hjSvspDgRUV3afMvbAEFsm
aks4Mm61HHarU4xn080044j6hNUrOzlMCDaFjchKANaKqyqN1jap2KtxcB6XymI8xOPs7NeJt+s6
u44jdNVrq8lVXE3Jzqlr++gMQf/DYsf1hSDVZgNKGdYOo78K6J2whmlXjCTYok7OMUIl8CFinyE4
Vzdr3WbttlYhngD1WfoEvaQir56gwIyZ1WaKfLk2O6OKoyjFQtBFyz2Rwe6K+fg1b2RxmlPLvR/o
j+DSsth746EALr8Llq3XgAYNmgWUROV3xd3YDuH3tEd0kNfFgywb++iTRg/Bu6JWZ9UqcDHlUPN6
2ROnWuLmz89VaPunbDKwAoaVsQvGzEWOOUJEQp5FIjlqqSZI08+ELpBFZ94N32aPpxcWGPsu8QYk
daNfxo1lfbhlYu1Jr6w2qvE6LMmVvC/Z+Kxyz96VrON2VmcdTQ20JBiM8RSmNMz+JLuNzsDbKjvO
JVSUrp/Pbe+9QpudNnxyX8uU498VecJfEsF7DjMCU1vrmRkIDKNh2kvC5Tnn2h0oru+paWnswcYn
k+maDGvSAtusPzpBEWdWcS5t66Sq5GuSwvcjQrsZ9UcO1CBtoqsJF4vmefC20zJ8v2ESrqJzfjRu
Gl3E0DLWDky5DScj3DdW/+6FSh2zEPab8kX2fY4ifRz9UD1UCIoPSnkL3t0cEl4F0HEc1SfForeu
Pef76JY3XIH012DWQPpYeX5yC+NtyaoUIpFpXcE2X5DbMxwWAz6g2phjB3bCFoZMsu7IPl8x98AP
3g5DXOM+i/iyhauLDQSOmCph27Sqv0AQkzHc3HnHjhu302Q/YW6YLkSj5Ae7suuzYc0+xYdFZuwU
WA+k1qt70g3Yvo35wehR4KUam90qqYP86EdQyhEEEnJFICQK2sFqf6KVY1gr/GZL7ncTV4oBiFOR
CGrnXhoXZBzsGG+QW1/eNLnTL3muP8321+CXaHe86XdzL++xn7gE1NR5UfxkToDct0pwAhRgHWkv
7Um1O+OWTrihJa5Oye2MlrfTWvw6uNtfh7j/60B3AqxZ+/DXQT/+OvSXXwVAmyYUA9OvwsD9VST4
t3ohu1UO/72N1P9WbZ1j+z79zz9utZ7fq7z82/X9+/B7t/Xny/5U0Jh/0CtxrtmRBwfZdTjc/lTQ
+H/YlkmThV8g/BMe8WerZQGViLAO0E/RjOE4+q9WK/yDu8rmVS5oCc9BYfevICL+rtFyg8ih++I/
Hu8GxPxGkPiN0Cw7Jxz8yZcbyD84oKsRr0/3rXKpICWQMaMXRxdAEIkySDJ++6T+H8c+SsC/HPtI
h0wzgHVh85k4Fn/RjVn925ujLjMLzeHLoM4gBv0Wy46Rav61blr1HFFgLQvMaYpai7l/TniIZX5C
40k3UTuxU6fcVIQhkkZwpTyjdlkm7wQEEoI5uw+2qxj+czgXFydXYTzImTyfBAPFvE/MNk5kGzxA
ZvNwkt0A/h1ibwf45RpIAz8wWEhlX6BC3bmNRZE7+OqCKFDw/Gda1nikc5X4geg9mLBdA3cxni2z
UzOeHQpPOYN0skNlPAcEu6zRk0R32iEkJQgclzyUG1WVgOgvRd7hcw4SojxJSEZw5A87eza9U8Rk
dOdRAhwWl7t7PUmD9eyNzy/2NBz2OYDErxjD5IM+kCncOCfGTF27c9ml7+iWQZgawD3XUMvCb2Hi
Yi0VGAIeoXum7JY4bYD8GHxqypn381ioM3s1EOmiy6oHMpbHH1Uym2/ANhXgPM+o5zXSHl4a2Vq/
6jRlpwpmrHqqHfUVQb+3GRM7W0V2fwpr9xTVdbtPC6nYmDKxKzrjmz+Y0cUc3Mlnjc1krRzUgFVK
FEN+gkM/gQ6oJqyy8EP5sgTmabDzu5IV5o7NXYg7qgubc20H9iErJyCXY6afU6cpdsAYU05bAIVK
ATFeBr5uZQnzvayRXPo1C7I1BsJpJ3C7V3OnzwCY062gEWLUDdfMDlgvehrEU2CokAkXWRkRd44H
SWKwzjNroXZN9gZ5SYVO2m1rlHz9slq2EQfpIQ3CaVUbdrQdXXuJ/X5QX9Fuh19pBM1LW2CuQep1
Ci3E4Op2nSMOQZ5hRu7FwZ/zPJIXRt079DEaLrVxqDpir4pIEku7bCJ6OFTPgb2U0crzpHgKU8UE
bmSGYzVrotNVFoumswb69lx/K8LBsbatH9omH7FZd7FQY87dgsBNbN1lqdDRa9sdtyR3LdewDpyP
2k36R9O5bfADMtR2KM9m3ERJ8GNJbfkUaBV96eEeQyXIBuMb6ZbTOR8q99kRPpFMUzOBaHEzcoI3
NSscyTrQS/TWMoxuxzFbFGtt5qTGT4K8nQNJFPqjnad8YHNj2+dCWtL6RkwCixXsQ2uUyjABosUv
PtQky3tdFSLu0qF8Vrnt7eumAz+Re6Dm9M/lBmRj16W3onacn3A92+85IWX7OfXyC8aL7LBIdLsW
GBCSeDpnvPoRCmHTy6EuDZPVf8EBG30WiZMcDLYjseGx16qV1gQjqMrbC7Mruph1jrosFul7pELI
r05SdsRSa+tqNov3nrBH3g66yX/avmVtdK3rR9Law6dGR9Z7lS7+vYWZe5dkCR/hFKovoP6aXTkq
89xPaYXL2+teSOh2vkDTdw8Z7ke2l3OfxJ4YBb7YQehdq7D23ARUk1pjIbLkJ5jXOj1ljqRzqxDV
uBAQkCng6euTV7kku6SYs584Y8lkd2cUFRsrYx29t7WxwPbIi3lDCAkBxxl7uwjoWRgXg5zMdWp2
OBNZLzFHsgyc+hNb/3eutGlmQYRPgADZKDdjAwfKhtQ4kqAy0cAgDlpSPGLHIXpqCLogOvftXB0X
Z7aAtLkCB0No2OEh6ULrm2d40f0gl/FAQ5R8VQ7TmPimBiEfuda5sUmSkduG5I7kHawaWq2kj/SJ
NA/9MhQ1DoME8FwCCEwsDxaZOMhtnIz0lTSf3msYQddeZso+ZlUYbUZjfpuJLkKalfLBUGUyLRyc
9keHwuagFnpzHdgjEucBUfRqJlmpi/25ql+5+HEwV8vI9hgmZuTsREJU6mq4TfOYDoy+ZgHWQUJA
jU1YmgvO5G2C9RDjMxLWLWmkBmwzdP0b+zWFPk607tfKbc3XDv4D/dJif+ZDDz7HXaIYBYLcmmWq
7jQQ5u/KWZqr2U1RsXO8npGB5S8JqbjLLZQrBe235p/lJyDD0FbTNnCekxlvBjw2bnrwLn0H+1Dy
C5CjCEaoyhaGOogFcJiloqhYyynRtjwzXZ4X6N/zckeoHV0rSfdDtUYcjAwHFSoaxgpQIlkot3MH
lW/zwtGTsOmF0YomaRrbLyLvl5OQRbTlKyOAuQj7rStKNm9twoGXRjWyni7oj2x5qfnLzDH6ddVU
9T3UNpL1XG6H1hDB2hKzd4/0KctY9wXOHT23f4XmJtcpLe25miV8S/icpwq92C4TQEHJqPOZzYa+
y6Azap3s0cC3gHTfXNQtz1GbtxvdoEjopb1JzSj8XswIcdbDnCMVIG9O/ZTzL0KrACaL7JBYXxMW
Hc1In71W7ujGIT65B0MQgNP7032mLQzgQqcvVu/9sl0G60SauNTgmoDJrCtvnQWRPKssze4QuXDb
2r7hfimbbmQCkQvumVyyczGxta2szDcXoopuUzbXY/G3ZGcSvKB9jBzIQ6d2NBQtFYSdPTOw1ddx
aXlxhv7wauMIgjxfOlcXCgLzxsBAfdj3ZFy7PYqJBG4LgB0iboH0gUpcGbfMJWqybW6mdUwB++mO
BtsmX96JOTVX1ZwwiC1a3o8X+tsxqRgU0qHvwPuw70VZsXVbh7UmQ/jwXmcNId2+spwqFii52Nj5
LTgaEYavnHJMoxsuKuogCqGf1Zgt11kxncV4aiyPvl34gGodYr1W4HjN9GBnFapdmyywVU466A/I
1BjN3DDvP1kpE0LGXA8o3yjbdh+MtnlmtTwSFhXiv18XBMl7PFrp/VYMrhN9qHOC1Va4oqjWBBwY
ANhzd1Jzv9zYAMy3KPk8zsN2yJnyeMr+qgmu3gRpCAXyVqr4q94fgMiDbXMBG3Wm/4nqOnhwyd97
sRZKyjUrdXGLjGoJWsKKmW+kMpsvXVopEkv1yP1U0VHfd8jOrrj3xr2sA/f5F0wQ8WtxR1JR+MpU
SZr41AbozSL0p/aQTLkr+KWRqyP6Nod2fUN147LwhPwRCTvPSKO3YbY5upifWNp4cKbVBN21xsrt
Mb9o5HkwokwhDWkwARZV+7MPUt4GrD3aXb4Xl+eqysjYtnyXh1g+MtI/S2Kj9V1duUh+JWjtmvCi
cVxIyTLm5C41p7COC+LoSKicGZavcNzmhNlREHtbb87sp5HJunFkSJmam2K07fEY+R36P8sSFB1N
GR2HMSgB3FTmRAXsM82zZlcc24RNKtWaHRIRo+mrM9MHRRsV49FypXOqLOAaCw8dwSNdBF8IkRjr
08TIoluZue5QGE9Eg8QhiQOUrO2ETbkuCXojkg0GgrHA3A1MyqiNtmuVg9IOUar0pk9+Ad9JJI/Z
nCRfkbUXLywfxvxMvjThW16v00PZEFqTyc74YVpFAsvVYhVjcqoc5knzKG7CrHiF3g9nA6Jm/5Vv
u73ghMf/h9+gP3g8zPeJKu3TclsORF7Sn6umINncS5CArfjTUf0j74C/7054d70yiwG0JYqgWDUP
cRt13nNv2h3Iin/ej1k3F9V/Gddpx9i5mfg2bk4wPF/uzWvxWztGNkI/lLlL2rhlluC30486r59g
jL46UfVkezUHa5BFGJLyb4os9Id//v63nd7fv71vmqFLdWe6qCr/+vYiUXbFprnfyASjAK6G+syH
X57++bv86mj//m1uTjbHMnkfL/q7pnNWy2jrxSWKIgUdOIzYydeB4TADc7MlHNdibCt7ZUd19r3m
eLJjW3cl8REg5l9J//QOs1EPZ7+t+kdBhtbl9pFhjTLZs+h2fiWrBDLhDZK7HjgX+3sYvojpf/0R
t30zqMs/e2comb/PTf7u//4faPL875+mCP1/lzUEO9JlfPKP5zH0IO/yb/fy/fsPlf1lJPPvr/xz
JOP+QU6szbXm+zh/gG3/50gm+ANepm15kfvvZkfmLn+OZAgcIhwGqxHSZZt20OFFv22/Xa7YCMMj
SDyckP/KSOZ2Af5+gWJk9Cw3MH0fqDuhWfwKv9+Gfd0zQx+8cdcWffSkmVrcwWghxBDpuPwwooW1
rxl17fq3D+rPS+r3gDCe5bcb/K/v7Lp0J6EHwJglzW3o9Ps743MU4+TBIfTdIdnm0vHa98rW1Lj5
aEFcGlpLZOtc6uG1pKddNnAn8R6FQelA4RPa9Hdm2UKBVNIp3xKAx/goiBUDyTin/TqUoJhN1SbZ
WlSUe3tt36J1usGCB2TpHv1Hi/f8w2H37PSzrBFpOcEbLLDpfW7s6KUyiyrbkCo0PsyEZLQxHIz8
lLMIx37fJli6cVYPr7Ub5Fs8rmQ4VNXJzQFAYRCbwVat4aF+MIlYZz1xbwtM0lglzedYSuuspC4e
EJ8HX+k7u52TGKTfVa2FPsZz0b8RYJd8McYShMoCzvSAYAdNdDL/QCIndngztwm97KG3gVXROt6H
2RBsxwlII5I9sTas+iXPcXHpFjWapTkfQwORYARLr+rQvxTl7YRtBla6jntXtzoOJyIYbMdM41QP
vFBi/q9bv2RIRhfgt7JgqmC/M4qgr41cOloEf1lZrrDqQGQptxreHNojYHuYSXa+L9WaIX7JP2qQ
YP4be2e2HDeydtcnwh+JxJDAbc0jWRxEUbxBkKIEJOYZCTy9V7V97BPHEbYfwH3R0WqFRLIKlcP+
9l6bZu7HqWUIy6GiPy5R264ioMi7nu5IWNTuAI9PsIrFEKH6SattRlP5hm7kft+Diz1K0cFx1Y53
dJH57j2uzdZuh+FEEk7vnSmR6wVJaz14pTxkJIx21NBT2Vxk1GR5eUTOftb7ZWqt7ShdkrSdHedH
RgPud22P8WFwcX0qy7ce8BOVRxur3vO85F2G1yF3N3E34CqjGjVh4JUKJ117AeOGDVZ7N7wfnrgH
TjgjPumQyap1DeMQ9FSyqF/x4AZX2gPsL86MxTfuTEJlBAs8ZyWTacCkll2EIYLFiFjoh1SGIPw4
L8ZM8U6U6NWnZCmqnwU3DV7rtCVXJJY+WbbMzzUt7mGC/1mIyvexPPnVrQBCcG9L97j7ulVGzwQp
nAe3y5b7Uc+hGK8r7L2hKL5An0qCl8Kz2mZj4TXYNH4JN82zbE7yi/KDq2gZzK66Zh6fiNjPOzdO
5vgUxzWDacJP6lfXB1i6I8khq1FOlawb6o6e5ykQx3uYr8TWGRecnyp5zGykLKASDLa5M7mvVdvi
VglIFc68mAM8U2d2gfPZfk2ZY1GNb2HccL4kRje9ZL6R97Jmt522gUeQ6DRPvf2namoUH6ew3zIn
aYZ9X9juX8yJUbijoHNuV07XOAIW+exZzwH5hZ0fNtwZO7A5+A1k65BdpFwLYgkdgYOkuQq7Kr19
tUDT4h8H649WzwN5gInvr+h2+WLhgpu//Tj76orkQnZoX4OS3Q0z/RcFHNHDmITOo++metO4dEf0
GQ2OePgvYa+z1WLfhVVMwptisfpDWjcPpb90tyYV31zf/RX5TShvfR4fRKrqa6kU9uCYn0hB2NzF
hdK3JLL6vUE6PBNakdt+MtXX4oP1nAGPP4gZn8eGK9V0iboMWiGjIHDxk9R3GhGiaZoGFGItJQL1
qp09+0sRpTrlcsjPIeEtg3SJPNnZvYORoez8P0012zn2Ophp66Bk3NoZ670vYhDaHVY93/Z+UDSp
dl05Dk8hZyE8TpokI5mF8bQMy58aZ1EKzcV1Oc5SwxbKWV1Hx+UOnmGyCo0Vb6cixrPeJ8XNEnbU
rD1noB65mqJnlbtwx0YLZW2FaxAbb8yNtreK4aEjL59tE9phmK728JvaMVnPfQXTD4lX8WRxLWC1
iL8CNOeNVXqgiwPayWxPiTXFmbwa5N5/BHmVnD3exxVBQv4GwwMcTxnEC+bFJKgOQy6LdVV4J0j1
6lpLP6F23PvL7qQfqH2o93nbxNxJeVK6I3M7s64jxpPbFl8GYdYuBqRlzU37rS0KYdBCWnFRPuXu
NA/gtNwmLSXfxM9GGkaS8VnPcfaz11wbcuUEfwRg1T0uWip3cdHpvcfVZjzUNZG87TiOwQNCUPGm
eJ/Wo7HbA37i8nsYfffWmSb6mvPcdl8YuLPM9kuZ9JuqR/VlWuG36abmdIBfkyjVFol6YeywwIUc
xFeNeHe3rC175r7jGbPZxrTlu0XHU7FODMwltN7MURs0KccmzDZwlHZrYOOoNrp/nbib3zNaqQsl
SFFDN/u4HfJxam5zUD5FDhJpgpay6erCusH/iB6MBW4+Qz/XgbsToPXpS7s3gDUxxTjxsaAzYDsF
bgseh53Ja0dq4HXMj5Bc8eh8N8r8nlnfCScrjgqCSbJewmRtmYbOOQYUK80YcyNlfsGuapChWm8f
jByfo1hGxK9i3uTEuGdMLG+xg9jY9PjLpmhieaaCBB+a29Gqbi3Jc2Fq5MxU76wp2mocurt+HuQl
oSJ3k1u9vQKhp79NLDGvD2N/zTuMIdqy70huQ3Vsh/Mr7qJ2XyuyBrxD05azoLOGOStI7C4/GBLz
QhZVvS18Xti8KSMYeCMlzl39Y/ISOl+rsj30IZwojhqAAP2231d+YMMPDYNz7NUUMmatj8YoIVPQ
HXJg8AEVJw1v5PD4+BbSfTS872QSaM2Q7WjcvQVkdpsZFe9bOrhXjtOisnR4Z88cF7pfGIR4UxOs
lDu6nrqbr+twmzLCoOqpjKZfoRL5s+oXcRZhnv3tjEfUhC3nCGFo+pnWub8BpluR6vFERdWhGcpN
rET0VyTLcPA9bIyMBPBUsc1Ge0Rtj1yYtpNbbIXsnFk8ihO+fOoXZOp8hnbbXEYhzSMTpoxanboM
Na+39E+gf1B4RuC7J8q99Usc2t5ZBKP9iosk+pPjNBkJcwXFnlCnzliY7OiY9sI74foqBQEHUKix
Y2mimQa+EKrZSDAae/6+YLT55mA0WgEQGe9aiwnXiczjb2KtYqT0IVQVb0JZ3JCkrFdJK/FBJ918
ppx+2ZdiHt8hxxfnoZlLWpg5PjzMZdntZDcQwOkFZtQt7fbLa5bO858h9Qs+pgRU71Tx8TlMQCmC
mvYZxBTRwLBDqh3UtO4tmCvxECVleUq4VmOEpHKMzY+oHnZGP37XLmS7ohD52TOWeR2nwj2MpR6f
rBC5oJd+dHO6KsDiENhn+uUVxMQpWzdxU707LlT2ygb/2scPbZD6DBxj6EeN5Y0+z5lbcHJPBInB
hWwynaSa9m1nId7ftkQ9IEispogiadVws1gNZG5yKAg+D1PmRcVDFCpMkTkV1xJONpmdGcRCby1H
JP5sXQal/cPxxxGYaNsjOkdYmbYLFjv7xhbB/kZlN7jorEaDLeB9r3Oy/8Tdy3DnOyWDM9+9Z2bc
dK3y8BN+iL21JPZUkNfzXo6pv2uaOvnm0JJvLZ/wGzXVOTaKwczlvvCm9lg3Y/eLD+3ybIUdp02Y
hPus5YsElpDblAji1iswnvpMM2+VaeXD1InRfFaONM0T46cmf7FAmKpNT0Tg7kPhgrcmwZpOq76E
4IwDcYRnqgbmpCs/wEXk0V79XLhT/GpqEF8LeTN8oz4eqmVy4/1AiOKpnqX9a6hC93UwExDzuZXh
O7a5cNmmGkUlLqzk20x+erJ81/lsXKxfK9VozdtR++ZZcED90zrEg+OpIuZQaNM8z63NWrEgfnNg
62xWNa9v4n1jMpbstnMGJLJCfGaRcn94vvDb1wDprn+Ag+w62yVF69raHWMQzFPtlnRyCh7Qi1GU
wiJW1C4N9qyPNa0AZjMQ7005t3ftFvelb6/yjE+vO6eBvanYD8+VneI3y5ymph5MJbAcLAKnjVUr
m8+7kvOqGuv42FSD8ytfpmRf2mH9BgNs+JRcieAE1s1z67lP2qJeDiTHpu6C4NyDq9rEPIeQZHzx
mapk+ohLQFQ+hpq3dBmtd7uuvGDrh7ML5XI2p7EHEU6DbfUoF8d/ivGnxSs7NhGMzXzbzHV25ESd
XBBEp0PTDTgZeAk/RxWPuAks/+Zil9kRSd3bfaUetUrvvH7q0RGG0ufStdxr2DvDP7lQARW6JgFl
goaEj8qp5qrapWXFUfRmJMEHpM9vCg3NE2aFCGcOxh5WawmSp/PH8O8Q1GqdDIXeQffHUDrJ5K0N
wuHnlPLJyTFe/0zzON5ExneuJcS2k87d4olc5t/YvfPN79SfhuPsDSW24XSl6z/UbRDniid5KLvM
f11IU52WWIitvfTTW2aDHuqsLHnoIi+9Ya1ztnOLuX5b2HV/MZE7YSCI66MfF8nTeAcdObXG9sCQ
u74N3Em/sI26TwlEhN18xyV1QdU+jiSZjgT6fg7C6GpjAjlzPCicYWsqugkJ5MldNvQLM7scQoQZ
xDrLHc5AfSrfAWlLMu6oGLmfhe+aQApAMtZ8qte6I9vq+IxQPX9ozmIPZR8v26WL+uvAJP2l55SH
8zynSGKhWfTkuG59jToe+bFjvVd1NXxo3ZbbaOn158wE3ENR5Uptw6+7EjxLQYHMfLo0u8omIdIG
d4g9JZi8cU1+m8ELyfylTtJr6YzRWx543clDkH6zKp6rLvELboJjuSFMl22KxLFvClsNlMdx2lgj
82kz1/KaQJ77604GQVqLUlLYmfYPomDPg+kfOd9BnHHDGtqiPYu4Q0FfImAeFg8agaF8xALe9xnA
0ibrKaWw3Ppnb2oc2pAg7JfMm+tX1UpA9laCtqL+qS40YVNSRJJHn1Mv4LOGMevLuaPj9obuHL8B
Dqf4MP2nBJEWa7fdpRmtpnE/cb/yaDv5Gv3Sv8MDF0JNqvrE90K1QCTUz8pHpPGKvrrEnNQgF7J2
8A2lDHog2u30qNzn0GL1tv3WO/BKdo+t3Y3XJRv7z6EYxrN973jsZBBhpARNOw93KN29C5IsoL2q
Yl2/t0roXZwV1rOXZx4jHBGtbLUmkTBWa2qYKdoAaWMeKIBLPFi2cEQ8OpXm1TDF9huGALoo68zo
v6Nwg13YihmTM2PQVURuk45aYAk/M+6Qm5j2sUOnNHWc/PCwEMd/+i5lQp8GAaixvcxiTH7JUNuv
Ki15gLS98D1YXfU8VwE5eCvG2OoWzd/unzbNRs3l50Jj2t+KM+gx8SyWIaYMm6Roqo03WqBfaOXM
YoQtu8pWg5rpZPXmTc/WvJ76HjT5vdaTw9gb4fPqNLfdi4gmuY8HbZ3p4SDoFlMISn7D21h+dcG6
CVl8CJ573bmP2BaKi4hdJpsOlSA5tM6MWUVZnic4EEdtZh4HOoa901K0Q7Vh5nrfpsDkVsy3Q4Wf
vQo7PmnWcjbDHFx1PCcbRI92b4eR+Ep4fL5qJgILxoOq4M/nzZm6Be86coPa+bnTP6ezus1LYu/Z
m0mrYkukttJ2QKdY3rTPrZAuPUSpR0+Kx7sm9Ev4kYtro55sZ5NZZfrIyQ6Gi2C9uibMcVG7Otpx
ViEgG3R0Lp4gfRZIz+PSbxyT5G8iV+Agw6n1nzga5IAzE0zrMtXk3ibVHQgi+OuUcOPGuWfhgoii
nSSPQnrNGAnuelL8eMOGqj27LVoieR8Z/WziUe66tu5+pbMjrvSIAiDxE4sF3B29J0cPzbXhq62r
poluCeC7q6ipKVjBhVJnWKPq4FRZepJ4o890S9dn7eoALhVYmXLyUfJkyeeUZHT/iLjW9VvP6e4g
WEUXXYNBgbITt063sTv/DskdbijBddY4cMS3RUr6OBJ3f/FZmVa+AnDMdrSQzl2CbBfjK921nlge
CeTrPVUoVYOjrAiu+EPrp8UygkevEfyW5ZQHn8YKota5OtVenf7wvYZV0FRdg97oU+CMeAUCE/TE
I3cC+eYns0sUW4ycueBOOR2bWY+dPiZxwnUPk3MrrR9BD6k2ncFD2XOB10fUidmmJjdPKpK4nebA
Ova5X5+sSmBbssrmQ2gOIOB+odxBkGMxpoZmAbNgF83jyKydfg2qeW2SzfOKX3rH3qViMTdq2jk5
2+mmTNJ6Xs+0nm1d4kc/MfkjN/jBHO2HrGltNh45Pth52L3RRmu/BVMZYz6Dk75CuWJsO/qp3qoc
8B62DV2/ZtSKi532OgP7g/R6ubNytLzzmCQSSbau4MwUiB8U6Gax9bNM3e4UCGpqSVkjDqyTJB2f
AYu0msi7r18StYiJ84yF2Ltg2Jo2aaOHv6kqlv0yTP5HJqlTCAx8zJ1iTNlsU6CD1N06FetW2iRh
u8qJNcE9BoD23AXY3mE2aYlTMwjrn4PrpF+jJeZlHQaTcI/m3gp3WqApvmp3Kd8bJ5r2Vlo2j5DH
dUycp+meqNmDmCKJB9/qCSHOGV3i/1n/y7M1xsgAjKJth+GHVTnJDqMW00xHOacukMUbqGqsIyVg
qt3gJ5JxpZ0jpPRHXoWFXHttHnzdqQDsRVi99P1oNiKal1fkS+8UNFLdKIlCYkinoL7Ew2J1qx4b
6jeqgU+Sr7yHy0TL6MAyxiJZpqb2gIYMvLSNK/OuwSx6XEZgXPeFq7ZD8qRrhW08Lv3wNQPucImp
ZHIzv802kl7layTZCQ6gpej20sxyv5jRdtU6wVyNZbRiqr1CdfaegAI4ICOmmUoUrWZqU3uM395m
JG9EswU+wx3biLzlbtg/ObNcfiKcT08W2Aq8UzYYGbyS+76rnR8OLK1HRuHuVgNDFbtKS7JENI8+
0nk3cy+fAv+jr7MEMIafn3vLHm8tXP4GCdJO3HMTGKYuNrhwLDkBOKtZc8pa98oa3+fl3grsc7je
EblIqUDV4MVDAHC0V2QhRDNeiKcKt72FHUjG35Gd4M/Rrm2/xNHdHEN5VfGSaoLoxoq4QIf0I7Gd
dt4aZxwXKVM43kNb2d0zZj3xLKGKP86WV1LNRpvjr4WS7gd/SQk1jeCur6KzyIrpskvvubzG/gEH
W54hH+BzLEgYAtQc0D8ximAhSWcr+g1/dvmsQz48RCU4sK1G0dx7eJekxHEFw5o88pj/5Gkbx3WZ
a3YCVE/z2Akn+s2I+L7A8SGCEpX/xE8rj7CYl6uQpToRbxf7uCm6M2s7G1AXiu/OHdpkE1bsfLiY
rB++pWtwn606GWgZF3fqx+PiJMPfbnAJ4vPYEn4MwkaR3TDmj59GQIHzYcMdIk/Xvd+Xh9Jd1Mlj
3d6MqspfXGxYJ0tSTr9QvPNdpo1TrxeKQPd1TloxdZUpN9j8mk+7pvd+G0PsfeaKhPp9R9BnoxM8
4aPJcZUo9bLIln8RJNh18di8x/0dgIUZinGHVp116jMxbQdewxfcZP1vdqAiWKVqColp2U60LotW
6m3VJbehUN0zDg+P6QFrS7lyBxdrruj7W0Gs4Fzb/CE7wnyKQ1HdfFOiJoi5GD4WZLX7hjzKazB0
3S5S3EpWcTnlzxgtsnSdhISsYFlUy5PJGLEBGmFsIrT/xHCrPObCTp476dVrmRkqDcaGq4Zbtdu2
JX+7JFP0WIyzf+KPxY98uq0vQ8Pxml++J9FIQZKuKNQMl+BhgE59m03x3djepsgGrDZJRU1HGs5X
HyzTi56cad9WCrBhEr7M9A1vMz+/cyuQLo99B78Zd4zBtyOF/4pliXOFr/jwzPd245zPNU7pbtoR
yrtPaAYUDgsIz7Hn2P6hSJ/dIiEIwLqOaZ9dDvTcBHIPTmNAmnI1GlOf9Og5xQpjevcrzkx7Ybr6
u2ozijbqviPBFkt1nSDHPhnkjI9SEcteESuOe667jG+SgadpEvdIoIHbp8sA/yWaQtYO8m9dEl9a
daLBgmNXnXWPwvEibjJvmou1xxHhTNlK+dOJ2bKSIuTIkqBwZracqKZi2gKu0a7fmKf2x4LXFwhY
Xx1M0gYboUBPB3jeqr1wPJfdNDYMrfq++PCdCHRltAzb3J+Dv7j1ujMYAJKUbPe/BKaclmhRTp1L
BqQdm4/HQValzK2cZeAGI20ya53E0SuLBjMO0xzk3tr7rD23dAGO9dYxsvAAumgkGqNptlx747HI
haqpDey05MUrmflgV59etTLudzXN5ktzbH1tzDAAx4Zmyfof3e0YYRoQqXaM+Wgy5pd3l338hkTK
0WQpuOPhM2YxHocArm1BLw0bTdYn18kS4osGkqDYTnUECq+d2bhm0nRHuNfizA9l0WIRtmad1A48
Sg+PPN5UPMxt55GgqmNZ1lRE5/PPJsgkc5sk3ElZs+eXTYKVxqd7a11F0oo2vdLLddDRvdN9ktlJ
hbQ8QlfHvOVlsyJOlULF9gUTPyxMFbuVpOAA8Fw4ew91oRP6wHqH7EGasIutAPKlNBH4g9NcQioG
onWWuTHmIpDC68J37R/52DJHkWV2NqMCG9xHFs1zOOfhubV3jjBjKpss1KDlD2a2DvlwBqJqXZSe
942frXyomaA+sXlxdsnZLlcRcMzu2Ati5Bv86OYdvVlu2yy1XuP77aoISEUMcWj6tct8cDtpkW2M
zsU1CEf5nVENxyZ2D4tFWZusXQgX0c7DRbAOEYfPSyHsE/ws84DTjSpv+y6Sk5YHMIllk0Yym0/W
KLdWOj25FsooNmlu1937wCH8NEclhkKrtLZ9ZnebaW7GP3YNvH3gOPEg76szvRMwbZQgKDbWEkQO
/0XNMEkIe+jEu8Ai9tARbLhm7QTFvRfgg0C94BLDevueDPVCpcxYXqqMqF+X2NbWlVFxzAnS/c5r
6sjiOmgvxVDB5ViatF3XetIbKmaW37QaQ2YnDU40vaKXe4iRiash9v6/N+j/rc7Xt2ERu+L/7g/6
zJLP8vvf3UEAk//1Z/8n9li4oIv5v1iExL/z0NV/eYoHD6iYsv+djuHY/+X6Ssp7xMsmtXU3Kv3L
HxT8F78R+CG0dOH+w9T4V63x/zDm/Hdz1//yfv27UcdX/5mbsh2HL8841Me0F7riP4x6mHnr1nN8
FILUK/I9F+EJwqUHryqMlPfZAYF7smfCh02dYfNEITZrkc2+3OGH6BnzKPIvnaPxurFO4cxoWN1+
DEtJ9HJc1oy3vU3iN/kRkM/4BfSTs32qYfelfcz2g4SPrMgYiH1yLoK7AUiL5wjO+a7EhP4oHXhb
eeMySi8Hvgsfyy6TsMFsRTZBu6jbP3E7ziwE9zbAsGCImYd28CD6QV/iQNrbmXs8B/8BpC2cpq3b
F3rb9WlwTh07XIfJgmvITq099ULhd8qgr1h5WPF3dhe5+2oexItatH7Maow8vDNqU0BQUysXdNPJ
srXcCG7JO4kTFMs9cVyyN5I+jcDmG4WhmO6LAKrEKh5nkheJi7OY+HfwxOkv3vhNXd3GwK2/RJE3
D24mLu7CYT4U16XCkUJA/7DM+WUc1Rm63lNiwZL03OGm6ISxeOc27Fr9DljbfvHj9kh1iul3SNE5
2VSrgBcXmKnfoGb4r72nfJzp+RiJje3qJ1ml5zYzEA8R9zdRyQhgFdwbqhK8xcWqR/fiLgMG+RND
40zzTxt9hKnxjukS1Lels4dqvUjLf80hDpzadO5ocbAE821EHRzvDmb+gNPlCjhLdvQLow5jB402
j4fxxwj5xV7V4CCoIl+46jvwB4XiUl9J4smd00cUgHqS/dOX3WooJ/Vz4uZ6xlg6rYo4QcngojFv
I8odv7U/MeTkqTwwO8ORW3lJuReVV36MnvQfVUXhRk4+8Kutq19YWtSvMFzUXhVl9lxk7nhDtEGv
1BNgO4S0S6kbdUlzWnwbmykc29slqkzMJBLEXts41iEUU7ZnLiWfFFd6jX7OIJd7Ik+0x61/ZUcD
WSjW/ty492xChr+LKmHCX0tbzSvPTtVbj/cee1s4EbRu9PxidGyOxdTZN2nnA3xnrx4/OU5Mpyjz
3bWzdCndV0v/MWFDv0Ql+gbTWOe1EwECZDBV06Njpe1H7keAXrJ0QYEZjeU1DyEeGLOKpsJqN66t
OnTezNpmzoQeEnFzPhDNNHtq3fgyJVzc2wh+4s2tLNDEncVb0TAwTrYdJ093VYJaOy9cP9ZONxYn
lcpoa2miDiwXVPxmWmJzSjwU5sUlbYU4dhlBAd2MTQJvhRlyfglxy53crO/uoBu7+i1CGT+Kfqb3
WdqppGsLbK42BMqhPSnrXERZwwZnT5XNF0XhYz5TXiN0/xtOO1ooI1PCjUU6sAPXHJSaFH0FWGi5
hnM3wMRVX4jtJOuxpo94hZ7g7AKapVrO7rm+yBTQJe4X/2InnTmLtk84wsr+Al9ruiZFXnx4Ndsu
Z557+aOcf9SRy7nIq53o1W4L+WXLhbn9RP9TxumCs2ZtNtpF29ewcPdK23y25qnIHqI4n56CwTZP
M22QMAMZd65rbDkbltQtIK6D1Yj2oKoxuTA3BTiXeeOJq3pzs/2wuGnK1t4a5oy0Govqz+TAN1kt
ppKHaAmsF2Lj8nHkpvSGxcYC1FBP6bmf0m6le5WCfaD5EfKf87ekdBIuwVS/eRWROwsf4ZvGrMFD
wbBlhR66bB17pgPVDan4BhWBXSOZYHjEHRO3lsOihdj44ir0zyQJQBrTMzMfcaQ5l7jQy34ufLwX
YR9sbdSDTWyn9B23Q/heWq3aNZ0cnuGFUCZotdER6UO968ku9jCyk12Psvkg/W54AJ9wr9wFswNG
qvhg0B9+hDgxb4MPM08aS0MIyyRPu99vi7F1COxbRDrbbETqoz0ID1KeJaeMvqcTVWPNZhqC9ugu
dnGrG8MtL9O/ZWuCNWadE8mzO92u30FN/aidpTH0mKvnuGFcXJj5GCQqfiUZNv4pO0HdcuuYfd/e
m6lRUOFY+/NSKOC1CYXdrTtNO2t27vlMCLWXWpFOWu7dAAjnd6ROyycSleHgpXcMAod113lv6Wdk
gGJd7Wo8FDFoGgXs2Vhte2Cp3iKFlusiLZoDsErmqSQd1zZ0esjIbc8wEYu6k58ymkvuSk9P5UBK
+mwtk4FC+T7Nj8mAYAgj6M7Ah9EIqqr9EHeleRwYwa2DyTHElIU3vbR3Dh8prmUrmwmrKJzEZ8dq
PYJ40CAOGAznLTXrgPsxR8Cuf1bY3cCeDN1NdOxnNf3BlHzK+qsJiOwxcoIVyjP/ilyEsGFq95og
boFIieqN3ZXzmZv+vneW5eDjjtmXDLuxyEffWAP5a4nsGYT4qaBMHIvaoa8Q+pDziSpHRxhjFbX1
Foqmlw0nN63ECyWOtLbeXVePiSohapGLH7gbJQCY/dLYu4KLSoJTz/protY/QdBu3/h8NBegUcPB
QdJnmxmq76IvxkMgawJLkEk/28RDUUzKW5RRQ57n87KNxyJ64Q0oeE3Bfq2arA0+GWOiIndN8sAA
OcX/MzON7gy8DbFUN+o7xQWWTPE+jWLcjrQ+irWwRjqTJ0nbrfR7mKXMrcO/heVAWrascDdxJWtW
rdPebU7BpLd2UPru3idneyzd0nqGGxTrLf4mqlXNfVDKldinizYsq2fOF7q85mAkYXYXeQL8g783
OTL+XwIMWE06PXLxa08g/POnCP/0n4IVhwZKl0BibhoY146vfzhFATCG4y4mV9t+7dSY74yE18ev
lXMookTvnJQ7nlVpsXVCQRQeIPIBmLkkwznVz2RhHy3qMEpoiXzB7thWpiI7i/cjECZb9Rwt1h3m
unXbTeZ70sb8nWr53Wmv/VD5+OnXI/MHz42rRyZ4PiL/QNhbac1sz5kuymlxr9ZiJBUj200VMZBR
HaW5Ey45pI/BOTlN8CqXqUBTmDJIHVZAfr/sNknHCBEId0xhllfuElzBZwi802MPB3EfVZDGMOL1
+8mzfewcpX/10zn6DmAu7/iMxhC7F4e3YShetVf5V03Rx03ASqGRe+x3VgrwzCeV/xKTmbrQqIBP
M5VLuvHcPq9xxoTxabbUHXXbx8fWqObLTkdY11Yd3Qoi6Ti5KlLjLFGrqku9h6Ei9mflkUPxvMWw
H++8Xk8BwUiUUAMSEgL7lsyvVa2lntQWPTPZpb2KGIQRjzkWYMzPClclZmvjHgrj2y+kYpMt929q
MQDcHDxiVPtsnuy3Hsl8VcvOOWT+OB11HlU3NeWzvRp8VMZ7Fb1+93TbH5opqwmAO/3GSE1rq8a9
Ri+c+8ZGh9vab4l7EaOTW3cKspO2i+CgItqkh7gu/6KPB1e/8/IfY1YWewRSsW0gCR6WjOa2sJnd
3b0f4ViOtb1xsyhkq8FdteI04GwYkZtLJ/onT3Q7zqmE+dSSboO8/WlF1aaZ3ORhnK1f5Yg1FKCo
98OhvmnlBy1dhRWXltpX3bqWwjDMQnJpI/TPlXE1GimNGmt/KACI8mAQZCv6fHoW1Eq8CtDXG1IJ
ET+BUSsyR9Hp/xyokO7/luT4j3saNTj/nqewggDfjdDJwUwDYD2HOm5rDFGdQ3pbpJdW95Sz9aMJ
pXkNmLe8z8FYP8pkic/BLJtfkQaA4zJ+GGg9l/E+GRj9GydcduAYEOJUhpjVhtatROjB6B1oBEeX
d0CsQ5ejhBVJ/e76zJ441JS0G8u+3KNSuFsXTSgge/kbfzpIdMtUjxbp6QMInzeCpjaonNrbRk1o
v8thUOfe9pCdmhA+E9/7usw8DOx5lu1yz2lRZWEtHttEqQ9O6vHew73F8HH6rEbvRqjsxeWEsqIw
L4MKxSDEW5IZt0l5oYhuucDkUpzAKStEbm7DmFtpkvi73LSMqO4lA9+yJybNvC7u2dwLDoUE/+zq
J7HHnG5XHTC7axN/vEAJn49Jw2l3BSPSf6qqbnzs8iW1dobl4DonmfzjDUJ/1zgNIQ5aUPT6RD5X
qPbhisoEnBi+I7bVPPpntx+sgwfBftOlS8VkNBj0QheuMH/GDuUrWZpdOXi4edqCeZ1p8h0ludQE
3oMETrvoazR5wbhpirZXq8GjYxFeL8x1e9GPS1ayQyeguCLur/+NvDPpjRtJ+/xX6dPcWCCDEVww
wACTu6SULMmyLftCKG2L+77z088v0vXWWHK1PHV50cBcuo2yM8kkI554lv9yi8MKWn42osL3bHT/
YvKn8UKUkrmESYZtMU9+RvWJVDAfx+khyhnaYari4T7h1Xiprz38NvBgJ88ezil3dk6/hc7EOYVJ
ypMK6wwepNiZ1PLZyhyj6J2tM3k6isQmT+f31jnTNxPo0L3O/0fD646+rgkQvvdXiA3EN30Gmlcz
Qr13bTKCyQc98JDrAqM51xoOmRnBSJcg9rka6XVhkusSBXg91UqgC5exQT0kd0ak96PZr7c2AiLb
MGIW6J9LHu9c/lhug4hIB4YY8pBDa7BRKCwyIeeFpyxcP4XzEyrLfaoKOAU+I5SVKIbuVk5Nsp89
yH4EMeotZunvq0aiO2JU94aI4wNzoPJoG1V5n/eWXJcxmTIO8JOxKkmFkRHHXHeIKNKg+HbOCteN
ah2hmMywnvewjpDl+iRqpdY9rJhbRq/ux5p3wJhal4ypLh5pT1NHpkmTXkdpR6eAIlMWWgrjXHk6
5yrU1wVpZdnpvtZFKogqdCQsJzzWVLBAJyO2LkVtrstbblIXupS8tKmdj5kugx1dEHu6NFZG6KHW
Un9G/CI9ObqA7nUpveiiutDlNUaiVNqLLrojXX77uhCfzzV5psvzXBfqiG0JgKYU75Mu47tzRd/o
4r7QZf6iC/6EIJ0HqBZ3oFnhhZ07A6luEoA3d5F3pHEgut7fvB1RLQzMXhLUzgGV3BBinHBd9Yoi
6jdtOMtp9vY0+N8vj/Zj/WQ81vfjTXsHwKh4Z2Q3b19RvtZHotUGGRXzQyl9dr776ooax5o7OHft
EUILTlnZxghly2S+AWu0CARxyuqqmevOWWM1GJ0stXTbSgbp82KpCT/2OQ52RTIyugNxjAXGEiB6
vhYlCP/9gqHmpxZd7wf0eIncTlGiyZpKjVvt0rk5THVZH+28SS9hAU0XHMxsN7oDK8f17ntcxPYD
2RS1c57sMmnVuxnZ1iuvVMsXZ0zABqMaeTHUytt3c2Z8yOMRKnhXpOD5AHEK/M6Xq4H87n3EBPgJ
+AMqK9k4AVGY4uajBGnNdsxF9uk3D1XzCF/wDFGS8DFzdOiiIvt4Vv/9iWjcokdFrVcb+7nz5GWR
xhedCDw0SzAjF4JyS/i2ujUlY3GGH6jLq7hX+0G41ufWi6JizbAv/DYP/XiZZ3K+MjyrvfVoyj6S
35UfbXAFPePobW/6C14F9njf5B1aM7lRpWzNxMaZwZ3Tg9nRO0BSJLHcjRMaLviGsCi33cxd2b4Y
SJCDpXhqsFCvSR0cxtCLPo+Y8HE0JedjajkfWfJ8fEX6JPP1mXZ+YP9tdN//RB1rZftv2hNePuV5
/6//8ZRX//NfV0/k+nHzomP/4/M/uvWu84eLLAbb1Na0dbrzf/F57T+oVxScP9Ph/xyPpvx/8XnV
H6wIRQ8fyVofpYv/y+e1xR/sRkHjyZLQsxmV/RM+L94pL9Y7oHXpwuf9JVzR9wytvoesk6MKsoLs
MlqAtwHs0rUZbiogKuXWDwLAkZYxRqQHrUy3zKDqq3kagosyDNnSkatuqH6jjTlPLug79CEZWeN7
3QVQYyojREWxBwmxCVpKrDGw0astu/kiR0Z8lbVgoiY/a/duF5nbtjajQ5k39TsL/skncDINMPky
2ufW2K1JUtMr5nD+BWYXpDBxkeNLETWXeTxIunx+/OT5jQPrSDBFDZLKR1u3tNXGS2S1T1GG3w0z
ipNlNTotfXQ7eV/WRWcjzIJBywKqHNRAOXXfUcsCR8kEXTx0hVHeQ66M56uaiePV3HjiWNEk2gVe
GeCwIL/JZEEY0nMYPwKRRmaFsfpILlvR6o+c4GtGsYQ/uBRXdTJUm6ktMCdKh2SL0It9sIJUXaZu
ND/0Ka3XqxaCj732M+CnkHDobMBuzNV1Ad+VIUDWY608BlcKnt8JItzAHLoyNrAqLDgwzLH91my+
YxqZfiJVqj4hs9YfTFmJRzei38oQJiouQUKjY5X5PW1CCGNfe7sPUFy1GNiAbSRDBGSjLkYDgBtq
+7HxYBg5MCVEHQM+h53982zRU8mmBaRBnBnNFcjB6smo4lSthBz8tZFjNBObiNIFS8K3xFWEikFv
N922bSZMcxZbbKPFsTYL0/tNpP8l8yJ4oWHcC/RW+vy5HnkLG0Gf62MaS4p4AC9V+IFoiQgCpMma
JqVDcb3OcG8E5I4u5bsc8YgLP6+jWwUAi1ZlE4CtrcoRBpVBkxwGRTTfBkhyrtoG/L3kK8Vtwy0+
9cnUWxBZwV0Xc63AKhkchwUO0ehzu/BjC65yEUkDbZfICp7nyuGeUKlT2XawIt9YWyyViN53Le5d
pw2efLNPAZkFUDPUZIntQkMOTVQsOpwdia2uLjBwMt2yuSuhlzWgC6Fs7PqFnFHAhbmPZRY+Kzgm
qLRD6ZpBbVZrVVoUphhbdP2qGnHiIKvM+v6QwCn5FihjflqixfoAPdxTYLMt+xmPXY8tHaqyBsGU
I0gIPxDaoh1DdV9VQ9YN1znm3zbe61DxMLESJaD5QcmDr3Lm38IAD4K33oKPj8RHD5++ZELAqUZ+
OMLosVHv7diFSmVXBhI+6NMUsFswyaD1TsvoO4PukoItxnq0yzmgUEoryPMMGMeX1qw1ncE/+vfZ
NH0V5iDxcS/VVwR4s4NpZt09wnTVcepxSl6sWt7yUHzciL1q+ogvcfiEeGN8kQOmu6hmqN+N6EG6
ZE7nv3NTX7yn9YKElL1E8OTykXyEh5l1GPwtiPmquYk5ax008rYjxyizHiN8T4cRLNVQ+d8bUQIk
mDqjo80QR6eYevkUBsmwcxDlulkASOEcoxFPs8pvExhu3QqNQnRSUBSQX4wGrNiqc+0cD8PFLI/A
UczNCOXnC1+SH5LING/bhPR+lP4Xys9qS+PVwfMLrr0H0XAbD1527GZbffFkiJh30YNTc1tMn9Yd
sIhtBfYI0niFcYuVUoWtB4HPDNaRJURwfHs2tEh4a4yFgiNqH9MBZKMHczQ3q+1UecERzm5G98cw
YX3VNIGqLU/HfAI64n9wbDTSzLb1qT+zO/oh4zoETLQapFfslOFhXDupvnpw1OBf5VU2rUMp46+Y
d8pLysl5aw69ubclMkpDYsdb1cYeI6cyPYgYKadMRejA1eCu2OrNttQxvcDhY4MwrXHphJP8jMYY
BI04ks1ejQhf0nKPbwzi3nVuOhZQYoZPkQqGDbzA9l4R52+BSGNK1ZTetB5A2O5R3pa3Ti/TB6s1
ou+WW/jRCmWrYdujiAqiY0oOSI/Gh74ACl6gHnRZ+UD4JSCxkiYlbNhNhb7fdahyGnuWPS4neIXt
IUnz+B6mFA4vU3fH+MnPNkRLKPcwNsRnzm0f+k3aZiuFTP/dAn97NbQhdmy1b+aXXtfOxTtUDaeP
yVRGz8gFhfd9wvRHVBP0csMc/VM4tgkd10bS8WUAPCJ09QlVAUa05oJvVDznB4nnhLvysQ/aFYzj
LaQwRvcun2z3mDULBaW9jMehMeSNU0euQDLLCqDjQyhezHC88Kk1d7hT2BcdlGcE9Szsxl16LffK
RVg6joPIWkE4wcZH2XF0I9xheTIQr9GV10JNa6YldAiATccoRnQYqyBjBWBLHhcvHz4LXL93iOn0
jFZzUmQ/h2EQYl5ZreIgSNeWJYvLGlGmGxiNWEgtfi2+20NZ3NA7mLZpOzMTw/J3WdW9135lIAV4
eykY5421cbl4S/899wjJYEEHpJY5hsCYIndhI411GdZh+oTUFcDTQk8DKYDMfD1nDabEStnrsHHs
ix7AIacBCN0rd7SsqyFnCuMbZr+v7AQLJVkS6Qw+cxFTQR3LOpiw1oicPXzV5LJ1vJqniQ9WMMJC
yTlOQAjPwQF8VHs/qmbZGV7gPrSJP9xGw2gflnzmvMZF+8qDeB+ZVnHRDoYkGaAzvHITx6WhIcLT
//cZuoAgDvDk32vt3Pbf+q/R96aZf07M//zYnzAaEmm8SyQrUJFu/qx9rP5Q5NauAjOgxI+/+S/t
Y7J51He0Lo8CMoNY3F9AGsv8wxPAnTGYof6nBPhHifnr2t5xUGWWjunaYGj4o+42/FSGKty8kD7p
6y1H+edggrINO2AVgs1dZwi2rRhgT7vQd49VYX/96Un9iel5geF5URG4FL0vL/2qrQBHlnG+2da0
YOiMhhF4e8DzhyoNTmMNZvHtq4nXfRNXmK5lY7iu8CyUQJFe/tIEZRqnkwVMySSV7Nugw0kE/Rww
5SlNg+rRDJNkz5tG0jTrPVzYBnjdzBM2g9M/Ei4gRyzhR7xubufOvVbJtLb7TK06E85MHQBXhBWD
PWpyZdnU3W/fvfU3t++D/0GWSLJWWFD6Rf70okSTt64zoJOssNM4oF/GcLzsjGZVDxL9/G5BArMC
2Mc0Ybr1+yR+LwP1Do4vrH0kmFdmXz+mgG3WiWd+NmRxjGy5F2WKE9iAb0FO/6GmsJhG/q3IR9IA
HRHD0QMLHhXMWOf6IqyFicuaSbALMrzGjWwD+XzlLnd0hEFkxttBRfdSJYdwHk8tmXo60qdGSmcK
aCRAZ7+jRLivMKmW9bdZlxvGtPqCm+ayd2eSdLgG7nXZ4Ei/smCt+l6PxE7kYMjQ4keg4JxupsL+
KBvL3gt40A9Oat4VBiIgmc+V7XrIME2b5qck71ww/Ql8/Khr8IwAR4LnqOmuHAsdVzCX8bu5ccmh
srE+mG4a7iCwThuFu/2lpPo5eh5GRwjutbcjahuE1BYGPCT0L7YpsF8v4vKdRxIKI60K+1XhOF8m
Zjpb5JPFqVLL8L3qO/NysK5G9HRu0N+EyWJiLrBDhQP5Cojol9Bbl5XpLGsQF9YOryNEe+PkWxyW
zsXoezhaMMPeoVaFd17VrMo5AlGTIXUQXdakTuHgiJXLq1EtfTLNa15jHRszbA4Y3OZtfW15sBv6
8oHhVfGjHfNCfO3nzSsIQC/6V54ypd7CKOa5AszfK/wdbDyrrrrZ2vZZBp0oVktZrKsarVdY8WG1
dwhdD3EskCmMEEuOAmXVQLbqYQV9ojx6rv1hEsN6GQJIeriLf5+02rKdmtm+VUELC6M17yOYZJ/a
uu+v3Skwf1iu/Ld1lH4Wpvtf++/lzVP+vX2tRfef2HZC9g3A05vn2uYpfyr+BUL0X5u4//los/76
8J9tJ/GHbwn+KynPubtEXPpT2Z9zyrUdROZ064eRP/H9z9NNmH/wN4hX0vcUlvA4wv6CiZp/2A7i
i74y/zwV/0nbyX+9ShXxHiI5Sm74tbFkNYr0p6hZ4dsOA9SSgHni5951blyUVSo4UgnWsRg5W9ts
dqfVYAQPccgMYnE+u8zDe/8LIljMnIzwKoiWj2nv7KtYaSnvbQJYurnsRrWeXFAdwXAdjebHWiCI
rN1rYO4lS3MwKxRbgq3MqivALqA/d87IZ2v0HJPmIMGVpo59B1n4Rjkwcmp5JwPrRtIMccLTFEa7
Gf0SL6vfM0N/v0wBIHp7LSO8UdCzyLrTkr2fQ3hyMOjU5OxcOV67lXfRI2tlVfKmkNPHCiGjqitu
HWVu8T3FrQXwatNtZhE8AM70NujhP2CCeED07V0eSEA7EQDKVjWHJcCxGde0uy6EzVlRIMRq+NIh
0m56zaNm8jA1l+jDORe1kW69vPtqIMtUV/lRSw785uzTL+nnVvn5JdI79GkZWKyaV4kC+sSijdCy
2mZ1rRluK+xVjxQ579Q8v3Ohrawiog7enFujh2XDm3n7Bn6ZYSufzqmLYISiujEZ5LxcRbC4vJIi
BrwgkyO8mY/UzTuEQqzVADRom0aCIgtFtz5YbpN6+Yh2iX1UlgKo4CDo566+z3bX7BYHc5ghteOd
i8vEFtbQceIYheKOZzDttQtTg3eW1lxLleUbsEQMZFN45IAksy21KbILDP3LMlBAlOyrmgHfKnID
c9u34us8BvNqnJY7Zrv7pY2RthDWJ7sWV9CWrr2kv4KMgVElDa4fcqL/KJD+v8ls/tt/9R8YJvHz
I3KRRf777P9/F9/+ipM3NB1O6G5etBlhs/05Zv71TT9Cpm//QXQzsfuyybitc2D8ETLxnYR9RWSU
PkeqVqD8K2RihsJ/EdhSSkkfnbLgr5BJqaA4igHWkxmCenP+UUFgvQJseCD9mQabFD60JJTHt70I
mW2LJV4ZT80+GkG8Aa4/FWj8bBkgsM+wC9nRqHlGcxJun5+eKIohSdMDXNcDOttxiYa1ByQpmNiG
wRh/HMAR/GY/vhbp1bfoMdLAn9PliSh9fPwc1eF+E+nTsNl7OV1WRPyRMo9wlZgj/8hMjXYd9Nu2
3wD8xTcbG63f1BL/5gYk8y8eFT6h+hn+dKyI1Kq8ESF2oNQasrBMw7qyMj0uCGCWUZ/3WEGSGnaX
Pfp/q8TiPn5aaH9TPOn06qeYeH4EjgcFQlLOoOH6qhxoZSyaDOz9vulDTbx1H/pI3cScL29f5/Xw
988LOVxGupSj2j7155+KzH7bzXNZ74sS45gu7FD866rHss79HW3meD07QbmuHZrEwziiPxKYEIsm
cacK2s95gBOJbdjBE7CvUQMNzXu48sNa7wsUMKfmoi8wEWugk2+Nii4JYEF3q5wK/RXkybYuQOEd
wlm3tQEGJAp4kHPtfG6D9sJsMDiRcU2rqaD/bYgKnzZgNddz8AEhIlZrvjyUZAU76HXTzdSmz5a9
pNt2yE6oBXqbrAloCfnfhyi/txf3NxNeXU++fENsCdDMpoXwsSRNfvng3KXAviDGi0ZhRggqfP6c
BMEGkTiE14TA2DEK/ZVbD/4P7tO/z8xfHZe8McZ/DuNvSL/nMPLywjmw7KoFBrL3EELdep32fPeW
7gAjT2xCG2mo2F2GddkIdYWHAKoMLd4sLui7nZ/BV8uicEcjDJy4y54688+g1Hirsh5JIvAOxcRU
oMeOeIH4zVH/uqrQ9+4wjfRJ1Rz4p+arZW32vhxmN8r2JJ3FBii4uoKJhuzvQO9+7GGDuhizdEGX
31STh3u6dTGm4SXzonYV5M7FjwAkp12pjo7mjXgt6FnMYdqNO/NrUOqI15O9fH17l/z6rqUjcLyi
wYPDldRT3Z83CVr3honEY7YfjQYrVElQ8ExcPM8PunHwpa97ADOGzMTv9ucvq4wra5NikpO/UfLu
BZyKHujrPhjaim60j1CKHvm8/ft0hvVyLUsHRWjf88CB0FXWquk/xbsiq3LbqLNsj5xmsXebOsUZ
PTq9fRFPvhJfP799BtiC8sSSdL1evX2Gsq6LdATeGyJ7DtwAQKzTYl8V4q5Ez5VN7hsjZ8vA5K+w
lvQyV9mzFcqFxD3ZqgLr9mCa/bWl54N5pwzmf6F5yFAz2aWof60boJ5ru8DK06GhC7XsRkxzcxED
rt+kUw+hiynRzrBHJosZ8mnASPYmg7G1siaxJg80tmXMP2sjpWk/3FrSM1b0Az4vaw/WDyIjeNfz
p3piBpmEZ+hp7AOSI3eM/EpCjG0/Tp3uskBy0MCLE5aNJ5XYd3m1BJcoOKPfZyfPDJnKA270mIX4
xcGYfHPdU2XtMvx1MPzzANIRc2ubKRcuWSw4i/VdhEgXDFV2cgbWoEzDD/VSLbsh8x8iFgeqyfDT
XfuuiH1criJopPBFHtEV8Nejjt7znLafqkm1K2nAjZ4myGGp5GKZn8gny5wJy8LVCJn41IaTt7Hr
mm60A3MqFupL0QiwaH0u7oeSSUsSY0rmLI6BuEjybEX86LPgfJ5zv2HX3Tci/Q6DGaUbFIDDcRyw
oCRwj33VbrEttADhgNDOG+PR1dK0Mmg08832aAVB8e9lG+3YYgjeqfgENAJ52NqBGt5yAmczQ/dc
5keVVe8Ty3+oETVhG1IAwSGBKKPdRVHAlOvM5tUUbXPvxAueH1X/jgRjH7jFCSG75qLtK7ky3Kzd
+hNvM58Jlk2dQNjAkbGus+fCb6DZ1wPuM2C38/Q5Y/6zn9q53YSSH9qOuVqN9nVga6RfMQBbN92b
NIAGbNWcAaktEeno6W0FFeu81EfmXJJfpRaXmof02QiZjzu8WQaZCD7AFMaOSX0c4EbwxmFbCJm3
9NjCZ3CILAIm7NoFwtsYUXmEf0CVgDEFbjn5CdRE9q73LXPtDIb3vhXZbkmiE7Cv8hDNJmN2JgmY
Q/IbSU+PTtKTW+kXQ2Zw0zoM11OkoNbntTuPLBsTRTv8rbMOv5f45AXkjCq072wv8zXi6uSZ4GBT
VrjVsTXOC7dZuO+gmHYQ2hHkyx0UIfG58ElkImSPf2yBnBVmWfZd2zXYgA0kn1JWy3Ux8bL6WGcb
Bt9X5pUNGJEVBCmyACXPdqn6EvKegIk0mtTr6DvH68pj0ZZdfDrfOLdLFtOjv5gYnGm+z+8WCruy
3h/9HX074nU1sdXcqLoufaCZDLzE2p39dLvU7oXlnK3JhAE9yU/WyTQcMYWhtYrCNyhbZO8AjD0b
rQ5YLs7RCFLcsXTTHy8Yf+Y7kdWPZcW+cqbkuUYrZBXUyekcLhB5e+4m8mhvIBIUScgFWrAkXcYJ
Ujmg6BpkTVf9yEOkGCAfWsinyJLd1aCsg6cEhqill25o3XtMLq106yzVoxLl8Xw6+YgqACnmCShL
BpfCSZ5nMwhuRVLucpKkdewscttgPg+eV2yIp98wUibLFazcgqRrhbjSh7bFOEIafO9ArAXEw0ua
1L5xs1NHfqXDGTJvhLzMuTkHpV4RXqKufUwm7i3uHex6nOVQZ+qOegdfJIut4njJaTbiZO3ZlLbZ
wMs9VxMICA1rJ7YNgO0s1tK9Of9CfKie9ZaoY3WnjwLwTHddxY2d30El/Js4N8aVWWCrko5HD6qw
RlCwbNBXRR4cVlBpNY9mIq2japLntAozpJFZKg2yqj8inQewZa0i76GcFRHVWejiWP74rvUgyiAQ
7cPqhf6PlRif8qRxyNAJpj2ke+kGK4++6HEJ0c5VaAbhqbxMl+dIHE86EXNCFHxjzS+U0PznxaNX
i/MfEDuswpvFm3btxN96LS8AX55qF5f4+xmMhW9K2JEbTyE44LdaO8DkiZ3PFTvlplqdPKeOurOa
YAvme6ZZQ1c9nXmQeoUBnCRBrkjTiTS7YeFVjSWLrvEJPFnFssoHoo+HOMDe9kko9Nttk+YRQBRg
poioTxVU7OuQL6wHqoJz/M10dAxqcLZFatkrwy/LQ52g8aXPOPr6qA9ErGrVs4HcJT2ixw/SsSbc
JPgqbM7pMMPnbNuPIIaNIJs/mFHNvCNnd9sRyRVUm9N5rRRdfmJI+gwq9CEw8XBLVVMjrMuj1qdN
4BMX044tEOB8dz0hgL9xDMdcSS1EL7sGKg76Oau+KuodA2dETxwUEs5iDcrS+blCvbauo0NWlRx4
c1ffECVr1Myi7kKOCCm0io7aZEeIhVqLv0v7EVGj0se9DXQBRJcRKbMgUuahwQj+FLlTr3mhMt4N
Fp4EnRe3e9RlSTWQ7EO87xEuT7ebqKy+Gn66vEf8vboyi3TahFX3HvEqeDqGFyNIaFmPprSQCoNA
QkaMvlvUW5jI24t5QCV4pxbKpKEMdWpQDch0qMi9tfoceNsyi7UcmZ9D+CwvPF3ApRF5cr00Nzaq
S3QSJ/yc/fDUG9m0SVzR0rICLYZfTLtLmWNcofNnolBMsNdlXulWKSbMMf+jpxuwQ6ODb+T1TQyB
kWlNArGnzBB5kzAy2r5BET0LJTkKkwBsEDh5Z57YIJrvyULC1g2qWll1AS4nqLotfeyLzq8fMwzQ
ViBoltVgO+M1SHst/WW3+8pCwT1OZMDlAb4XHV+mFTUwcdOi+ZbV75peXWbl8CXMwvF7ihneAapG
sBlxTWDC4nyt3HGbhPPXHkoKIoERQctALxhNa7w96w5HKIE6U5IWMcMjuOVwaIVJDRc7aJPYByOJ
Eti9o7kdQrkheb41UAY2GgIApK1dCPxn64W80zC6NsbmKi6Jv3IYP1jmeNk4mD95cV4Ryo3vlcOW
dpFF2QoN5kp740l1RN2ktsBOLPIOrzpBD9c8NoaNBQQaI/SwewxQY8s41CDjkcDP2bW68lngBeDJ
QFiK+/jZmkofwiv5k4UtwqYsovmD3cEr5Q0vUMw4gVBKDJ7HRHOuLC/7WNS9vJKL+XgeHxpW+4id
BilVWjdfQ6TVCG9Fv0UxqdunJUlwNNULXD8yJpMaDmiwIQhcOo5LIz3aJudcSHBAZ6LbGkPp7/uq
4VO6olc+yZ1rs029ikQGxZs7e/KgKRbQxJqcdVvqJUrBvIedevKH3tunxXAXeayYwAeZZxQDQZOj
QN/n4Jl3Ft2HfetYlIWc1iufNLu3olOqykcT9+31oMy7Fi1txrcuKzRqp0vLQmQlNl38pdzwtsjG
YzVbXygg6505qOaqNUXzoTfSzwlnWsh8sRazfzk2BDUxJul1Ah9liz6yt2r9juxah9MFMBo245x4
g9dBklTegx2nJ9wgjyQY0+3iTlBha/uaSQVoNcs/MqhwqBshGHVauwihGrBiI+4g0bLrRMZvjRvn
Blfw6NZsrOrzGQFZkCZvrdS9yCQrrMpYDZADSxIsnmmejTxnEPUfS0w7cauIx4e8NgDKNSw3oZtX
yF2uoWniMOAR14KWPAcH3OnGQNK4Xzm+DtJ6JgzRk9y7RWcsATlJoTNUe8y9Ads2JQIJ1j4w+/YC
P7TnwoieQ077puEcagt1E9qskfOJjqcgWuikO7VeqyHL5CaQOM+G5AQU18D67NnYGtwwQCLOzGIu
4VfoqmWZaBChoJeiztw8lphR0u3vx3dhxZbC3ZmXXcDu6vo5uJzpTK58M5vepU6X3tf9EK9R1tka
IUroqAKQ3VHRw71mTTZdWUDBskmjJCP0kIHVMay4TCZYwxOK519QCou+NTECu3QtBjogTBp8lGtQ
92Q1+ZilPWVjy7c0+bO5IKiUY8h2zDj1zqufenMLkz2+pFh9pgnBr8q04iFKa764Q0qJUi/g5Eoq
47tuVCm51Ac0hIZrBe8d2pg+A0PWZ18yNG3JoQgKYXWHuTN8ms6Hl2OBLBYmiu0xYYxmZLrNGdyu
U9VdGv0SE3GrK/T6MK+ruTzzH/JVSYIVG+Kddldc9ZJ5uBGN1saP6Eqx2jniel7RUMi789nrT+zT
SAYPbxf+Z8rK6/YC4GWYEEDOTdN5Bc0YksEdwmRO90ZB0YmkdrJSXfdYgw7fJib+wothpfwK3nK3
4Dkcibwn1CACUH/y6oqhFNMOzImXnU4zetc0to7rPqQDLFaB+w6oAuMA+rXfMKpjSj0OUIYMgL9e
RwLchR/OjcxzjeRa4lvc5dGzM3XDWnUouSEdg7Z3p2WXENt2qik/atduihKdlLrUQJ1NDGlc+PxG
B0UMKUDrRxHWA0i57/HYNILmqmjRWZChzgKjGEUYat6NCr0ACxpr+uctciYCNoMCBq10BexXHSnM
9PABYqfgykBN6bljcNn2dCQcQdKVp+pjfA689PHXac92s0aSxrdf6980xTyfYQbUAUBK9HNfNo2A
4tQKMma/T9wWArNYokPbkCehqoPcBoofa/iK5ho3Kfs37SrNdXjdr6J81ypENgGDXtLLS7OzAXik
fr/3EK5aKYL6Boy5dR+PTr6RjPC+9GbCTBXqEqIriIIP+fDer8QeLK31+PZj+HWeAkwC6BGAZ9dl
eb/qA/eiRwO2RHZF6iCgGwayY0u77QRNVyH/HhJd376k/nmv9hP9UaBCjCdMi8T75c+3CzBJDU2p
PTB/j6kpYpt1yJ+srHyY2mZYQeobN8XYZIcYFYDD21f/m2YhcwJuAC3W8yjr5dVzHqoNpaHb1x7J
WEpDZw3guP3NCv+bx0qXWaAW69H3/GVMxWmKURK5xH6x8B7s0T3YNMn0BfriTetnn+cOO8m3f5f1
dz/MBnfn0d+2mPvoVfdTF7QumpC0BB59GCftFUp5OPx2srkgJNDKGb0HLMqLFYgxentM8fMpm/f4
3lSrKUQGBh/Hb0v28e170pPn12+aOSIjfBY7TeBXiwvbsyb2zYo9liZfykrN338kvyksthL1g99Q
AfWU8dX1FIKerqTrj+gWhfnLR9ALvMiCIm33iHDeNODUNojGFtsykDg4kzWvrMF5klnyoTJRhDPd
D03sGKshHq/h2nzrmGMjAIwC4NtPQU9lf7ktH9Q5S52tDWvp5W1hnVTNaBO0+xyFPaw0SJ6dmlCD
8TtHphAXPSTCiCbZJ7urql1b8oqMCPZGbJSPVjPRmCKPQ0JBCBB8KNm6jn0zWl2z6pLkq9MeVGdO
m0WSgnTuhd3ad4IcB6sDdJDDPgF+F27RWMHFA5jXGoeSTaanjimcFaQ60EuVeYfRFGh5mCQAmvFB
ytdmYGBnq1tZemx3PtiSxWwu3n42r4GDNNX1JBnel43NI4ibV8/Gt4YJeRKz2mPWNa1mVWP12YXD
Khtz+mJu3a3nCJDChJAwVNbBPP9MWqtrmdUoVHsa6wFTHB87OJiV2RtbZTIlGnTevKRkpS3O7te0
JNJV49EJDfPfxjONuX31fl3lmQInENCwpjJfnWb0MojzDckmSSny2r5nwNOwkZd0m8deKJQNnPzo
+aoB5+Oi9J7Fu2Y0q9+E1V8Xv6sAYTpCMLmHBvvqSebJYleYZtT7CrkbMfJgEJW4i4vB+c2FxK+R
htGhhYUcE14Xku+rSMMUJKhFllb7oKArmJD3WHO67Gq3K54zACLIN9KVinV3GRnQclWkqPKI3p/X
AazWzVhFJ0EJD0taHN2ceg9v8Geeb7otdc1YULzT3z42NrN5O6MNZ8Dq2b698P7upTHAYwCKSJ8C
3/xqclxQuQrcyat9hM8SKtQyXjXFVK1z9HNWUz5BeB/7b7pemlPaT30dPaOk95uI9WuAdIFFME+0
hS1/PSZwj2vdyrKqvSnL7yBoUHgTaI/2WSPW4/y7q4lfJ1gu/Ev8LqBiWui+vT55S6vzsEatmF9i
t5lW5bzRY8kFzam1b4WKBi4JtdYVRthHQiZbykdkZNJrRyt8ShOXAc+arzNZL4eBwnuVoma9kjmV
vRG0w3Vij+/efk2/nqPcMYhiEmKHiP4aSNCoycWdm63lGjhRli1ywPj5pPCGqZ9oZQMfNrPfDC3/
JuHnaqwIE7YhYfv1TspIHcayFmiPJTQ269KWFOKTOCYlMmhR3tFPDSFeWml/0dKeuvJtGpW6Z0i/
3djmojQ3MfZ2+4BB0aZLB9yOlG1d0lqxdjXZbIU/FtklZbetukeBViMpMG2AwqJwEoyfd52ro1ms
6Nfq8YtEoesupaJa56i9HxC2lvswbTF6DewPGe5KQAEZ6qFFgJYuQ4ddhF/UWgajv1d6Qgm59u4M
nT7PNspMmmgI+F91JezEHZebTCYUwRdURrDgqxBaXhaW4duv8m/DBohcADzMhEG5v84GvAV9XEnY
COcuuk1zxpjaaByZFdnh1VPhfC4pcmNfnGib081WvOhiRMZ17EW2LZz/Q915NcetpVf7r0z52lAh
hyr7u+gGOjA2m6QYblBUIHLawEb69d+D1pkZiTojzfGxxzLLF56iTrMbveP7rrUeMZw5EzWi01oP
9ZbW6JTU1Ezb2vK7Tn86tTbNWvPQ/BSYYml3X0Ef+Fm/+fsDrMv6yuEVxYmq4/r5dj8XkUkLFqfY
Fg8feJNxKP3CWaaEGffnkfAKcv7n4snE9uIbTp/9ZM80v19/sVwgUEbzgtaIlNFv/77njpk3jCWJ
0DldtEoX40HLqPe7OZVwo/HM92VtFevEiLO91JgjmckOOSrUseENcG/MysaXpGD4EZ6tLXsXHSWH
BhBp6M+qJsl1qx6VluLrqf9AaUNTqPOFY0rUUSwerXrpBlgU2VOKkluVeDKfWCXKuTjtbgSaVtgf
ll+r3oXol+Ro8iuA+7KqFBHRW5FH0yNX1M9mm+bb0kVgkzm0G38y3L4/dcEOwrYMBMFkV7aXp/jV
ebinV1emQ1xtiemgLESDoDCXlrBGRwhGlBLMXT7AlJz3gDcIX084MYTJe5oH9f7UhplVAo5r4Rlr
duubfFnfGvsOr3NCX7x+Kuno+9FEL8JRi2n743f//brn6jYnCua9yjX17R0JmlndFhRetoprbrWQ
/uKyVGQT5chTNSqHKPPjv/jd4dlhTHE+5VIGiJuN/c2oiklmnUTGTZDSdr0ieB308dK5P/Vi2tPX
K2kK9awvKDkQjcilDdh3ZJgZ1SgD0QDetBCzLD70ny0ebzfK05uzONcy3xbV0PL7r75M8s3TVMEe
uk1idASd4D1MHCPk0mXNl6fy44fxO39umeIolQyNy8R3205WWy2NyIxMsmXUIuglQIwVqWXscHf8
2Y345GP6+qKEQWEJIEDRiZANuvibsRqLnm6jSOJtHMfWhYeZn7VQOOTQElAnMvyaQ8aJJCmxAOPU
snaJNYQ7TVNKRNmm8zCYhXdIe1CQhrzGkTcGjU0kjjmQ1zgwR32qK+05OJZy6w2TTeR9mVwQEeyh
Vinobs5duWkTXjzpycGjd32TUA7fk3Oobaq0bXwF7JSfuoSacocxYYMS6+qbkZWuVSPu92M4bKhI
NoGIGnNbgMQ5Q8uh0FHJrttJJS4SORg5v3iBTU0kF3ajpMQTZNE1+CZ9Azau9/PSdX0Z84tYVz4g
Ex9X2tDIm4mD2qbIcY04MTc1wkJ7yoawAyRnbshq9Kn9MiuMMwSqFjqwzEt9G143IG4zOZOp6Im2
JU2LKlloYIts3B0YmOSC9DfMmspt3ZnXUUziMI7H9ty1lZnyz6w9y8EztgQgWz+ZaMbbgzoacQ5h
OiJaViWV+/q3Y9mLGgLBcnZ5FBTu7nTvMXJUI6Rf0tnmLJXqhXpdN025DevBxC88mQGWWL7AKjN9
V3QQ1lLJud4RTkr4UPwxB+u5wQMF8c8bbEpKvRlMipv6YGVphJei3NBEQHC/PG3XmJW7qRrMC295
+bTqrknYurMc1CbDaKMksaQRSFGUO1IT3Z8UnN5uXsj+mFDMYM4xLDTqm6HOyqlZRpO5oEPnrYhJ
Y6IT++PZ+3bxPP0JB4XhoozXrCVv/OvFgluYRSEgchEMpLVf9ZRfe9FzzVhYTG1HeN+kKD+7Fb09
FPBHWTvJ+aXCviwbb1Yowrbs1I6XEFYyPwOaXyTLz2pD2y1D627Q0iNdrt1XQoVZ2WXtT8pa2tuz
PRbJ5YCsc4CnnkrF5dsPPTUwzNOiciD+1Ap9+XQJ3DPmExGWo6Dl7Wuvc7esdneUHbJtbtr9/Y+f
+0kB980ytrwHSuQ6d5klS/3NFZRpIxxdKOTb2pni91PT7goTxtiMkXJeiT7xYBCq7Qve7fCKB2le
VSOq07LT3VuFSEF4f45Yt4OZbmQxu49qC7C+bFpOd3G9KbJYHIdpavcWRFfSbWPnomlM+8Kph+a9
HqFKWEFHSbaD1x2wP8NN75X8J4cva7ncfvMZOcBSMsUFZFC4Zm9+85yTzjYbttCNZFZdDIYYN2od
aWuvr/qz04fwZJwfVJilF23ML2g8hgSyq7NPanG6njmC+Qa1iLURh9HOg0rpO1WKIxo9155AkVd4
CO1O6W0kZG4/+0lk3GR6YQS1WMDgUPl2eWMDAbZIl7JHci0tqw0Ui9Qya7axh9rdjMKHKFdcocqm
qPXZF6G1imB9bTLRtFcj/+WmtvvFmRIdwQYpaxtYM3y4+v0sUoNFSJ5ZA6HoswlvNmri/lJPnO5R
AfL34yFjfLfT8jgpwqOpdCgFG2/vWrXnhcnMvQmyoKB2IhUBoqS/gJd5S8wwAXXS1DZzp8Fit0FY
6lS81qlVuzvinIhDTaheZfSX17nHNEvLPj4n41R9aaaUyODZm895FZuk90rSETbLHYUkCawP9zpQ
lI8zCTnn3PKIie2Q7Flda24anWgJTD1iDcnvPSwouSHv+66gIO1nQBp/sli9te8Qk61x52bGEjrO
BD4lqn11tEkhsNuUU7Bv9WzeLh6FZ30caILxxkN2UFySsnK7bTcQuWMohYIQp4mJ7+jc3WTCAkvj
kOCsvCruk2iRdyRMu2wmtBcyOrmK+lAzMAnP8gXiOF8VjBFg7+laS1wQsqpLmL+Q23GKNbQE5u3Q
G4+mAnRk8pxbgmc/cdchaIX+1HnRKc4uQrRxicPUPXScJ4M4J+7c63Ou42VcE344dlub2sDWpOW3
oTHJQO/5k0QcGT+p4fze2KFzYVL0Zt357lAIHTimR8nY6XPrFbeBe1jmipCkxwxa1P+kjHsKknsz
8w3LQKFGJVf3HO/NAbmQ1KpU2bHCIqfyU/rQjwjL4vN6LjVi5opxY6hhehXbXXyuu4IFT3D80gYe
+tg3nODdIVzTTXzovfBiiOzLcLbajYbKZ7TPJvIo/AbWO/8CySv/dl1zJvRhTIdrkbJ96AOzmWP7
KwzA+UavEPNpDU5ejQzNHdw4jc7hWF6krWoHoByjTYwk/n7oc3Gk4R/6mh73N3WSYOjV0WlkpkaJ
C1xxEClcbRBzeXs6sjcd/hjy0SdWDmiyl4VdOhcCd8XloLIstzWJou3yduiY5stBvL+3JsZW27Ov
KXHvwjvSnXRTNWSoNJ2SXulqpZJGWarPRkgAOiJm2tlxXCkwQAvKzn2kbBoeJF4xzQ5iakGcQJkQ
808m2u+MFgYJtZhFj77skt8u3K1t51kRoYollXZZQ3h+orbYnCrAiY7FhPjx0vb936OriCKdIxYX
devtLd0m5FUoJDtu8oKA4r5mNiCbI7mLZPJdPFvNT2aD9v3BkmubxWfTuPDSzPOWd/TVSuIib2v0
KDI36JiMIFlCOzXNtS+SgkZUSUzp+eiZSRC1NpGgUuxEy3JhZ40RVAQ6rZ2hpBUwOOF65Oa89iQb
ldrzVauVKRAlaN22bvgoiV2JY9GyXFvlsrlbIfDZOckPVlm9TMsyEpUWtOEFqARX8wX9IlZQG1Vo
WiWKH1GbvCP6st3PNtD0Ps42dBleG5hu/jxYr5mTv+gx711Ru3EDN3I+p66lB5oES+1V4q6dGeua
wsp/2lrrjKOWcKP4EUWZEQCwn280RL5oRJhNICncbcwQPK/iXD0fOrPbVvaymxYQ0qKacwnZWmy1
hcTtvszVSWf9EIWcPpQz61vWM87nhiGeCdHuUMWz92Qsu21WN++TJFM2PDcjyAVvqIbL61NxmclP
iekCTM34229zxjskTWUjHIXbfIUyxJc6UTjw7Sb447xCGuvt3kygoAjOPKjDBs4D3TjzEMd2H3eq
e6k1NPAlkTx7r4tcILnM0DLmn5AOofhl6HXEvSH+RvNNDlTUiqtEQ0VUglhgX+BjKjAyrnplnv26
14hfnCp7i0fJ2+tFwrPLCaLMZ/vehnVVoNeFzWnqe2Znf4GnBhDZwKyJLOI9SRXlyJJwjD5Nd8/m
8aE05S8o7AK1x0knJpIKMJfRcWnn6zjNrj/k6ryrCv7vraf9G+P7/yVLp/bFvM6B8h97OtcLFymJ
XkT8tYXz7//lb7Z3+x1eGGI48MSxAp0yFX+zvWPHJFdhUbEsvWLH+puF08D1jrAew6Lp4nDnKPI3
Cye/goiEv8bmvKtRcrT/iOtdW65fX+2j5tJ48Gj7ebwLrGdv26Eyth1C/dJpS8Btcw+C2XlsHC26
dPUQZloKye2pU9QPCwrgsyuM8nmQ7YQhII5lYLZDFTg9kELHUrxHofXVWV/Uka+5Sf7JgoLz8K8d
Z9+Mxv9DMQzLqYpBQhbDkuhioCnmMvePx6X/8km8nBIZrl4YnX/ZvfSf8+QvWJD/8g/DGn73T/w2
gI133Ah0KCimZTFevooLXXIbuNND+PpC6mJ0fZXbsLT+yRhVedvoiv42gol0YKTZvB4fZ3lJ9w+N
4Lc77XK9JbiBygTuSZQs3jLEv9ppmzAd0mgxIoTDPWvopXenbThwUSkmYydcc64mjkFtj8Y9+HeP
6K/0vm2STVI8hGPnJ6GCdN0E+FU8e0S3ZTFdJTwTygZowBYRIxrHYh+7H6bR9ImNTBHXP8jhWU/Q
pk4U6FTk17WyGvTpGuUbl4Kz2n0FgJjvIFL1+lX0KYaeUloXE5b9ciCzRq5D+xUcIZclHQExm4u9
t1JYJp6qXVEC9KdBWefxtC3sLMX2ISF/pCTcbVU7BUSvddG6kvnVGD+XHgt9OXzA9nXfdupN0cwE
YEfIIS1jqoPW4QxRfuzya9vtu5XEBUTOPIffCMQy6e2CFABHP2hpehvl894wBEh3faeYxVmm2vma
TjkiJ46FdQ2IFxl8Q1oiZd7ATtUDLCI8CmlKUH/12ZJmuS4b80kFM8bXFCApDyovAvVILE1LapI5
oZ1EJW4Lch3bSyPpDh3KCS00PmaOfRgr3iv1BIvGmf5+TKZ78PAbvfCAe9PxS8mepXPvFCsbggTO
gOQQYb9aNV6L2we+btMONEB+csvAJPRmefwS50AHX+Nq49hv5YZZr7ZjUpGzPM7FvegQPJtmeyCM
chcPdoDHvvFzx4YwW27z+pog7y1OmfOucKU/qUa/KlqCsUK2dDvJd5kCKVsOG4H5ZyVD40Cy3GYc
rVva0ajG09ZvjOS8Kc9VaW5FXZ5rEzEiblBipauT+cbK4x3yvEBo3lXHV1hPyasprKOVPZGVi0PN
WqMphW0O31yL12RyEmVo+NSMETw4vg6DhDTIHZWwg7DEpjfMw0RbyDajy3HiIj7CJoq7u7TmvKjZ
25l4I+3Ztoj3mOVZY89XajWgPK6iZuU4Y7zyGJXZVG7qnpiL8tJpALGEYmUV7oeim3Z5jsVgocdK
hZyKTM4XMzo21w1fptraVGjuC15wRQYFChttOmO5eND16Cot73QhLgVRSq023JXjM8jJ8bzWJ1hG
peY8NSE4cTzejwoHtbjWtnbKEBlscwPOZdcY4pOKjGrVF9N1NIHMc8PK8r3OkOfNQLCQPT9/tboe
vuyW3wQcvSmjnlZnvP2G6i67OTv9tyvQXKluBiMpDOwq+xwp8gEh+TYU2nMDtHPuxZnmiGMTZlez
7K85CO5TTOZJYq60rG025PUDwqJQnrY1sEvvGs0qa1d3bF2v9OMuO6RxTyGq/MnoRuH4ZnRT8z4F
PRP1TDIC96Nv33db46bpNdSNDcXrVaobhEbxhi1QQ3ImNZ/IsjCPiUNnXawje0eOLuwfTb7ozmak
fdHExGE6CjRs+ozzcuBmzEaAQKHhOJJ7rW7niIzRS4b91sjHQ5LK21rR7mfIeVR1PkXWeFvQ1EF7
2PlVLDoSnwibFHZXBaPrsjT2+qsqYzLfuk4h2x2eWDrXUJjq4Rj3/WFw5Xlth+T+2uVl3HMgtm3v
uXFmbUVm+h03nus+N4mKtmp05mkcWEZ9N3TKK9bQfO0m9itYgdvWTh+RA29F30Km0F7rHD7ziAyj
5B1EDexac4X7f93F1vuh0LYUBPDjiw9DrGAjp81RDAHZFpE6rNUeIUBmPZS1vhpAmeDvDrjxXeIm
PrQdu0et6vRuvJ2ilYTYSfmQiu6+Qehll+bjnDX3EXhyCW7I7wlEnpVuZ6RkdOJNRt59S0bpToWH
RrDzx1Ctb/OY3Ajd8G14JiK1fDt1DzjI9mRKHwYTAUPu3haa3q9kYdNl9gJPo+wLRDWK1Q1f/YWq
ERdDU8YekwdEgLvegTXnkOs7XRIQ24UQ6idr03n5OnfI3caTN98u+UJZgmFQnntEr6Vl+CB4hFuE
Ask6DdFVALUhEy2IByTnsBBes5jQ4M4+SNBUjUifmmLuVt4CQCdpWF3PBtSnFHvIA8jzmyoycGmQ
31OKYVh5dQ8SLv3Y5CZANv01cQtAyN6DSZJpqFSfCMPZ1LA4l6ybC8RN/Bd9deiabKfT6E6r+rYY
7GMWpeemPg0+wBIMTNYEUkjjv+/AnEtqKIMfRm3JzvSY6sOO+NBdsdipMfJg/uuKeyMuH6PWuhiF
8T7vSP207Edrbu7GQmLKSuW+CZ3XWTfOQ07UwQA8BxpjRC65DcqEUAxfRG6OsWm+APuw4g53jbFI
YI9XX8x2zgP0E8fKmF6wUtC5l92jmhsxEHe7QoIxHYTZ3feze9Y7YNcMNQmUbJ/p1ntYqCTvIgnX
4/ROa20UbvJcHUcEpTOAlhJaYI7taBj9kWjfwo58iHvvi25YuQK7jOkdbalcRtkTwI8V3Jy1F8ZX
bZ/cGAXoFka7mdavc6KjBZzW4+jdjpPxoDeIfzoANlpzDJUPfea+UlF/HlGJRPq40aT3MTV1Pymc
HtiIdQy9zygy0L0EpnIl3Ktau7KM61Ie0z45CKXwpVGvbOPYTzoaSvceZ+niZ15X+LlLm642pEE9
/ZwlEzFHLiGsj453N1jxKhnNlZG/eklMPe1JRrdOBEwJM5Br3ii4X6J2OFZSZ7gol6l6hAdBF2K+
UENgdhMKRvaoxDb3tIlwnAVZkhGVSzvWvtaGjx4k9sIxHjuJ8XZiXmf6o+sdinFAM3qjRoSjslY+
EOaYrWVi+VHyYcDTVsjXMa3WBGt8GA0j33h9+0Gp7V0iol2WaJ/6Ie3W0ouLVVZ5/kR5HEfT4OtT
s+q8yt2nMRUHoEeolKLiPcKIKBj1yfykCF1buUC8KoIyN0M1n1uivIujxvHnVLvzMuWpmqaHKpvv
cCod5rBzqHKJJcHAMPdRlyHZyd0ycGx0Ev1QfsQbunVnZ9chEbCBCaxVl+NUFI+3itlEK0EgMzXG
VQGVqENVITW0y0OoreFhkHPufCj6/gys52d3kndeWdfrJtV3aTpFfkWo8MoLiywInYVNQeEp7bs7
gn852hUYjM2LqjZeSe9bp9o26uwzk5qfVonLbMBHrEHNa6yraeq2LolUGPmpngpzimmgW4oPgJL8
aEvQzja9LsgzZVr9ezyHeu5Ijmm15R0yPcWb78q7RC0exdKIKiroOQTZH41YO+PZJDjBpp5UBWKw
Ksfp1k4p5UpVwNmCL7n977q0/opJVhgw0HRAIyVaj4ubsUgx//FN8+LlE3Tor6sfNFC+f4Ev90iX
vD5y/AybU9jitlhS/n4rhOjv0NxBjkAozv+jf1UIcd5RRSfihWYUNVS6yH+7RkKd4N1x7lepkBgo
A50/co10rW8rIX+jTrw9vJl5V2UacPtdPjjFBuyAR/ZdjcdljcMQ56nhlfO5o5TuVhqiPVM7yzmr
dJczSW936dVQs0eTgEriuu+Q0faeXFCJr8Cd3tdpQTQ8zRn88QLRc75KGL7Hok7bGydTzZHuWgF2
yHAgIXMwjSIabhzIwqCleVGt2qWC/KHHJ1jv+6oyL6GeGmf5qA0vfTiVH+o4o9kIXqfeVkUpikUv
Dw8s71tb3aEssZ/FlCEINipvnLaT2qmEHeR53+zbSuHa20yxmfqy1tLmLHXt5GasHQur1ywaBAiy
uJUouqlJA51fk31iP+lTVhzGUZtIre91Qt5FOuf5htUrttFExepTgzWLEB1DYenxss45jmXSs1vC
kPmYWsp45qWFeabJKDpaixtgYbDdgnaTD9hQrAP55cXRKcjHUzrT2xGJOG97EE9BqNhOeNFb9oLT
pFpvRDabAjmJ7qZHHMHKpcv4I0I8vkcFiocX5Lrdc8PIhvm8VmzjdQj78VbFg/45Ibcca25UN0+z
npnXnpwId4zblNJ5YabRvWPmPR56TNCHuPbUqylNR5a0kcDGFRFa/TbL4RgTeogzlzaJ8p41icQp
e3DUexfrKCFbdjNlQQKx6uDapLymiGe2ePQbmnoda/6oRu2BCgCgvaouCyco6tCD1p11FykEkWbF
JabcOZBMKUIXQGRXGOi7Z5KvSJgHjt1+jogzu7OITgFfbHYhm0OnuCRqSfeyqgUWmqgq89zvPFPf
ZtjqvWvLk3kTdFMK3dxadEOkMhEQczlgLE3IKmkqM0j7UjE2FO2dz5TRQwoeeUP3oE7Leg6Wxqi2
VryCsHZW4PoZ0Fn8qOo1BrUiGcvrAl1fv2LWTOwpQ14MO6t0OMTyYKlhJNCzeH49btO1wR8CH2xN
8dHS4kbw9O3osWiN8DVJa2c6E7kefgbp3e3ctJHaxzrvQY/Ewta4SBQhXiz+VodrVRgxePFc1y7Y
VcuQ+0ru7uNhaD9KOx4DRdSy9NWk4H+3eqtcaEpSZUEvie00q3lOD13c23JljiHU72Eq7psuMj9N
tFCexoj0lxXmKJKfOQdi7oa3vUlVJTPXplYO+zp2UGLHHFxVrJFwcXygvrm7Vquso8nkRXIzeUsO
TjxP7mcPNZfuZ62nBa6TWzhkx865USXxZD3tf1wWhWT3JZ7qgyes9iEFx3BljvO8IW6kq3wYmyiK
kUD2N4pitg+DsLh3WQOkakAUtF256nFpSmvYqX3YI332CJmGAbLolcqcZwHogSAAoC8PU9Fm56WW
WTGlHBtbSYpTfV920Qi6PWSnthiV1Ihgccar2CL1uU8dO7Dbqv/ozdwTKCNJhwvRNHeXeZZPR9ub
Y3dTAQYJg9yaRtIeFGur1bm6x/VP2UDna3wi2GT+xJEjsgO9U7li0MS+lE4cXXq0yOMVCD/nOBR1
ctv3ioSb0dvaXh1wHZhtKI6JOwAojHQb1i0NWD+qZPlYVbET9PMQb1qS9O46yZKDjZMsuDQD3bk4
xjkvd6osUVC46TNAuOo6zaFZtEukDvC+cS9DMX+Sk1G5OFziSttmGQctak0T373M6pikriGqn+qq
zp4oj+vDmYdYkbCn0RGcNdTunm8H/6A6Rdo111SSEPKumc4UaxwIKXJbw9tWLl3lMFFktlbBxtSM
1bT6ABHSvutMySBsVElADmml6bNWmeSlNAP3zKYRFeQSaXak09kzF70Ky1a5QpbOlVWv1fo9zI40
O+puhf0dOgeLTqTi1yesSNXP43QCIdDz+OfASZZkHbue+hGT68DRUKhTa6Bvq8VlNCdhshpKbyJZ
ICIRRTREtIxxFL/G0Gr8ulWTu0gXXLyQD7DdOHnmblPqr/E6jyonCCeNgyAwlWRnlioUPqVqxjOz
b6gVGVOYn8mhJ8La6kmcXudVV12pqY4gX4vA0dLbHA9D3aCSUiYl2/YYGfYaVBGfK2lursdCs8ZN
Q5j5hSE0aJ16Ba5IrY0Y49y1kCOxHHFFvMlKtP18QbhIHciiKK2V2phqRuxgkX5wmqwMuFqdDyNB
Xqs0l/xXYCObm7pycHzlkOihqKnAGKaOG0aLLgWCElBSP+ocICYtqQAPBYEYRBV07c6xKY5AzLRX
k5Y/gZ7xzjubpI80Q/i9iksvP4sN5A9MF4LQ/KQljXLFslOyDlHPFdoRP9qNrlWg5NV+/pSzG7BR
JxyXOa6fowhfCJ6hSxW37Y4lGVSvJpvP1og6A+Sa/eKIwfZn6eW7eTCind617b0xWsbOzSyHqZvn
6AJczfzcJNRg1lXeewdJGXSTEZE3rmdI0GcaF9zAnhJJUqw2NyRTJqBioduRx200IOIjPBReH2aX
ucVCHqRD2RC8QcLVtDYBacpVZ4ONWiPw0sh9mbwU/XaT7eekrY56auZnI0ONlPQuPZ+9xDynnuM2
aEVl++gxzvzWKt2PCIr0cimCNNdmkbtHqKzOLu065BxmTUKmPir6J48BA7hLK2+a1KMcjWneDIos
Mneq1dX3akme7SD5+iuviR8LLlMFhXn0N9SHInWlOalzVWae/VFLOqKOhTdUa4Kq6mfyii28Nk13
1+ht+3GMtPpgd/YI6CqdXAIP0uiqtVonMConRoh8qlnmtdFx5tKd52I20mkpyo/3tpmY1ECHIvoc
xk1MWrJiXKSydop1XjALV0PdaWyglZRPxPE7NNAaBHeYLVQWgDB6ctSM0nyU9DhU7Vh5zpDWJqu0
S4lp5n66jd3auaZdZJwBPc1eeb/igJ9x+uDNEq/4XE8tx7NEQFvuhdvdedNQUF1pB2hPBqwTKk2E
Id+4kXA3zmQN72cUdhuHms0LKlmOGnWbDdGqa0OKbQTiwBHRGyPa8lUNFxpwEVaHJBQ3iTDshuPL
0qPAkchKpQMry4NaxiI5c1JFVlvZCRHua9Gpke96o51vci3WrugnUOp1BoAAOhS2aZNgqtZWI8IB
HI66cM/pYczFGotP23Fd9Sijuoj2jLXUG9tbh9MgngZYYSlxJugJ1smch5fQlg0YSnAH94wQb15T
huxeothhUxswJxyz3uH5t640sRoUqdzpY5G/N824OVIJhSkhuA8d08n0/F7ro7VC+Np50lrutbZw
o5ITQopRQJYl+y6lLUeXuBayhTg15TKJkXlwJFgNoo3LIEoW1JF2glW5J3DV0MOwgt0FzoroUjpL
+QlzVbFVLJq+BX/FtxBF69GrnK2NP+yY53rd+PMJmQXRx3xNC8Wz/NKjiOotdK0EhNMn94Tcqk74
LYQRoLi8Eaj3qpENJro8TQE5tV28jheClx5VybGb0VVMJ8AXZ8yZYAg3CWYH9tcpREsAkr0g6s+1
N9MJE0bSjx54Mb4m94QRs09EsaHRj+oJM8apF5SVOOHHxnpBkYVRrrzmKEc5o0mxh7hKltLcN9VG
Ic8tEI7BNDEXvhkjW2pBs1DPDK8BgJb2ZGuF/ZLjUuvjoVLzesIXvmDT1BNCjVGlY1+EqxbCCNsb
Gay17IRdwwGyINh6nXqWMBY0m8NLRvfoLXhP2kJvqwcHkFvjhflrBaH3KIycCJpczYAThY30lRRB
mSPxrQpBCkJnEGRnhwbAuFDlBLiaIrJoopJcSTmT/haeMHPWQpyLF/ZcdsLQjQuRjiAI2HQnTB3+
XWe8JLBFuUNez6u4C9MuOuHt9BPqjvZEeEbsnPg4nVB4s6khB1WHOloZeuKd08QokdmqGR5xvB5b
VWnlum9Qd5EmMAaRQJ1LFTjDuZY6894kaghoE9VcEpcp/06tRCfYmWemoauPnAPQCWZeieydqDQm
TV6tCH6YQ6qnDYUZKrn+mGbyWJl0b1aFAcqV3Dm4nmWjJjeOSs1SA0xF+Qov7bla6BynrCwMdDv8
wDnV26rMyaCSHQBnz4uegZJ0HyYMoCR9JQRQRZOePUdt5dxEs9aOK24H6dkAJmQ7A21bT7Cr78Yx
PExxpz1pah7fWIlgXuqL9yW0rfEMPsSwM+s8OrftOuO528mZG+celWYnsbZVpuoPDQltrFFJRZhX
ohTGJlZV0NiYTWrAcFHKaTZL1A8WS8wu4VgaZEyc9nIo88WEb3A5FvRjqWElaUce7pzvK4JckpVa
JNVdhVp4wxHOPtj2aN6aZBnsIe0ph6q1jGBARTetotTu7xoFMNuKlVffI4R3A2fs4zvYeuFTDNuD
pQ1vIstjBGaaLDaPJJ9SLa7o+sVnRhjbh97UbeAtrjslK4Pcp0tLMeQuTmLjKiGThw41lORrkTcR
rHAVTWqsSmcfFhGxkqFMu9tJz5N7mcv+AP/WwqQeageNgKfPTRu3G+GlIX1VfaIVrQym9qB3Fad6
LUv3ZGSml3jvOsKjemoZRQeWL5FSp5nsFuk+X3JUJSjCbeg21DQ9ZdzrtV37YW6O50rOh80cXoRK
e9lwZAVXEli5IR8EWx0cqwEIuEpn30/IkbyliOfedTG5SatJ1viIapqsmyYjdic29PGyIjt8UUEN
NDpNJy7vtEKj4WP2pHKY+qvDZZBOYpNhjBql0l1M5ujAYzBF0GeZWx7z0Rze22zKfJdzU7kb2Vfd
pwxC8vrfuZzndVga+c6YLE40uRhHn347UuWZQvj1zJYifaJNifv676oP/k/LVX7Td/kv3UsA4aub
buRnMR0/txJv4v/7jy8x0stvD1VSdnfVf+0f/fiF/vL59Jfvpvrzf/7by6ciKTkFdyL52H1dVVxy
Gt4WIk9v6vSOf/Qa+QsfTH7ixTUTtZVq6oic1NMPGpq8KqPffg0UF+27h98F/fLyQ7OUwudXz+gf
PYUff8Avj/PH/+ZHH+DL89l/+s9/04GjnN7Tmy/mDzwD3X5H+sEiHEP1dfr55hkAFXDhhBGX/6s+
Aw04C37bxUX0TVX6jw4GVHQaGx3yZZIulh9e8OvB4EFXWITlf31MlJ1/rcEATwAzzJ96BroFJ4K4
A4b8700Il19DnkCn9eUP/etnAk2oslsWpIgglW+Wg0Wn88989jev8PfFQKd5YGH9I8Tgt5+33z/9
Dx0B25cns4Tl/GLfP0P3y5v6r68GmvZOZUKpyFa+/fTuO3Shi5n+y3rzr//mf7ARmEvb6J/57t+8
xt+/e6iIJpHxiPJ5pa8nvc3Hxultoqo9/fxvjfs37/zvO8BfV78/vQ1o7xg+pEAhUDv9fLsVujoC
TY2NQP3lnoCJXhonxZ/7/r13pFWoi+b69z79chBYbP4IXr/8/HJzH4U583bRIv6p56A771CdcxiA
BnH64dv+ajp4y3NA2Msm8OXny3P/hRYDsnOgsCNa+1OPQbMWjBwpdMSUffn55jE45jvVou6FK/LL
b3+94WAQVvQnH4LuvcNSgFeJT/fVGGAukBHDecskm2n5+SXHAF7vP/vx9XeEp9pofH93QXQ0Zgrt
M+JdftGp8NedAZX9n5oMOuwwYIpLHuOXT/rtyYAzocX+CL7mt7nyZS/+hdaExajwTx4O32yzfz8g
cEvC/fv/mbuW3jaBIPxXfOoRxfEDrEqRmqhqmtRp1CbqeWKjgAs4AluV++v7zT6ANTi1PD4st4Dz
sczuzOw8d4L+d2Y1uIIxHAVQnfCwI1dSXf5JBJw8KBWLo2GAJCAQgVOa+XL3CGEYIEUI3e1Qvaku
7yQDZDY3/xOxA8zEaAy9ALngysVJgEqcMdo8NGyCF3nEB9ghoGhnJJYHYHh4DIao79FrHYAt/TDD
RhLt2SLIxvqxd3S4CFFjLFwIkIt8+joiv65AZI8JXK6XMxx2pS7vvEZDzpqTfz1q7YeomzbMvicL
ouASjW7RhcMIRO+IgB4oxp93urWMsrUJchvH6OhUr/UWK0TjAJICzjWcBqUu/7QCjssbIUNQKhSH
YYBlMEXFiMsL4SxA8QtblYYXtIHil1BkYXAGdkC5JOfIdqQh99GGSjQq078loLWCmABwpcN1xinC
fayAU2v5XEaIS5Q8q0vJH58WAnoDC2UizEbIwwkc6b00ADPMplCcyHLWJPBOJmICx5pDBTJxqjeJ
aK6hL1cxIOMbG0jlaPWUCGabJN4eTANYh1z9ZzTgnmCAbkD5NhLZDZk0A3rEEKOLyDh7BYsB/iTE
gpH+38sREbzKIaQv4gmaCt5ZDKhMGGqRLSACZN8EW2Z4TPSSd1dCFAYz9HyA262h0bEb5iOWSx21
vUnQYeEzh1bTuOoL6x76gQ1Udp+bICVHIrlO2vkhh2/1u7Wzmv++cuxrZRu1HlpbSb3H/Lv5wO6r
nXfZr7I3b9O4pHKR7NSDnRnmA+WI+aLlQYJWCI8lLeMqcUJISgM0A+oEn2u78V38qqK8DatjtFLY
6zShsg2ro31S2Fsqd1RQGxh9i9h3KEZOc1oklPVSWjsjpK+4ozzfDj5Q/vZxcE9Vgpo0O261JCew
xe2N3myCoyb0nsoCCQ+/XSLp7APpF9xjnWZ7wCqaJQX+RmgvTss/cfxmKaBIwgVT9sbpJJnTMtn1
85A2LaXD/75MMXw7UJXpoM01KfDjdrldJHFZ7hzw6YjPH5CDFyt6sThq1NrhJAX+QStCMiY5EW/j
1pRi/0zRDcsRWEbxS4GfKE+zwQMtt22KwE/MQWop+PNmgy42PULcbGGl+L/iajO4jotXyuxgeT7N
dkCKPicIcwisTemscRPJlKJ/2a6A7iRLcVhMhUTE2GtnxHW4TYoLrUw5FbpDUbpYv2B2v1YZmmlV
bfojGQs9uM8g1D+V2+KweqqDqdLPmqd/16W7HeBIrfY+SsGfStRDuCvIgMOWkIL3N4yyuEqX8IfA
CWzvna5OuCUVT7VFMujsrD7DRmROBdOpB/wMZJrHr9jj0M7hisbRLp6FOEvS7sjHiOSIoWt+Q3au
hWsoz41+pa/4bzO8w3meR+3MbpKENpu06rTbMxmBZ5hfpWdQz76/OpucQymR7qAKDuLDUpTiP8Vg
rdf9PX7j95XiH1vvL5zrfnl0SgO7dwfSZ2/WQbyuFWozefv+zTWx+ReLLKby6h8AAAD//w==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</cx:f>
        <cx:nf>_xlchart.v5.5</cx:nf>
      </cx:strDim>
      <cx:numDim type="colorVal">
        <cx:f>_xlchart.v5.8</cx:f>
        <cx:nf>_xlchart.v5.7</cx:nf>
      </cx:numDim>
    </cx:data>
  </cx:chartData>
  <cx:chart>
    <cx:title pos="t" align="ctr" overlay="0"/>
    <cx:plotArea>
      <cx:plotAreaRegion>
        <cx:series layoutId="regionMap" uniqueId="{ED5EBFA3-5B4D-4C67-85DC-72F321EBF532}">
          <cx:tx>
            <cx:txData>
              <cx:f>_xlchart.v5.7</cx:f>
              <cx:v>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1HxZc9w4svVf6fDzRzVAENvE9I0YkKxFpV2yvLwwypbMFQAJ7vz1N+WlR6pW2564nohP9dBuiYVi
AoeZefJklv75cfrHx+p+736bdGXaf3yc/niVdV39j99/bz9m93rfHun8o7Ot/dQdfbT6d/vpU/7x
/vc7tx9zk/7uIxz8/jHbu+5+evU//4RPS+/tif2473JrLvt7N1/dt33Vtd+59uyl3/Z3OjdR3nYu
/9jhP17d3Fd7k+7N/tVv96bLu/lmru//ePXkba9++/3ww/5y498qsK3r72At5kcCIUYlFq9+q6xJ
v/6eyyOEpAgkDeTnF1z+cs+zvYZ1P2XKZ0P2d3fuvm1hM5//fbL0ieVwZf3qt4+2N93DkaVwen+8
2pq7HLabtzb8ciG0D2Zvzz7v8/enh/0//zz4Bez84DeP8Dg8ph9d+gsc/zJ3mdv/duH2d/dt9u18
fgEm9IhTSrGQ6MvZy0NoJKMBpvIrNOTbrb9A8/NmPY/P4foDkP518aJA2uzd/Es9xpdHWAosA/oU
FXZEAuQHKAB/enixp6j8hB3Pw/HnwgMcNlcvCoeL3hT7D9/O5P/uJAQdicAXkgf+UxzoEbhGwIkk
zwauH9vxPAzf1h2gcKFeFAoqhzz160Dw6RHjUlBMyZeHHj/BQsBlJBkLJGD0OHv80IznMfi67AAC
dfWiIPiX680e6EL16xOHz4+oJERIir/AAcf+KKdLdoQRJxww+fI6CFH/kWXPI/TMRxyg9a8Xhlbb
7vW3h/f/HrV8yBI0AIQguX95PUXIPxI+p5D3vwavw9T+I2v+BpUvyw6RuH5RfrPui73bd78QC/+I
SZ9hyCDPBS+OwZk4YhiI1ufXgbf8hD3Po/HnwgM81scvCo8wy/Zdl7fp3v1C7uvjI5+xh7rjWVCE
f4QCDC6CDjLKz1rzPCRPVx/gEt68KFw2uf4vpReCj6RPKMDzLDacH/mE+Ziwv2HA/4Fhz8P0160d
QLV5WbXJ2v7KSp4eEUZ8IoEUP5NaeHCEqM8k8/0vV6F8eUzJfmDL84B8XnSAwfpfL8pdjoEQl9ne
3H07jl+Q5MkRowz7Uvy7BHlEw4AVUxZg4rOvQAXfbv2lfv8pi57H49HSA1SONy8Kld3emX23L3+l
fwRHHKPAD/4m3QM5hloGKpnnqddPWfQ8Ko+WHqCye1m+srt3++pXQoKOgkAKzjm4wCMP4ewoQMIH
J2F/1jGPY9WP7fgbIL7af4jCyYvyjdP9XTb/F2RHnxxRIjBIj1/zN34KijjyhZCMEPwlgRzUJj9v
1vPgHK4/AOn0ZaX20z3klX2bde5X+os8CoAXCwIV4ufXAUIP9b2QxP+qC8uDFP+TNv0dPI82dIjN
y0oup3uT1737lnV/QcKH1EICBvTrm7LyxHMkORKgknGK+Z/M7HE4+wl7/g6Trxs5xAO6Iy+oj3J6
n4Ictp9/oaeAMElBaMEEdOAvr6eIQJXJORNQ3v95+QkiP2PR32Dy76WHqLywNJMv1v1S7YscEQRO
gIh4CgaIXoQhX6Ln+1mnPzbkb6D4tvAQiPcvyj3O9il4xy8tUNgR6FoCyvivqfxpg1EGRwEDIsC/
8gDEv4XKLwXKzxj0PCL/XnkAydnL8o3zu7zNfmW4QkcUExQEkNmfCVcCAPEF6Mboa94/SOw/Nud5
OL6tOwDj/GVJ9Ff7Yt92UMJ/e0p/QUJnR1QEoHThr0oXqI2P6xNI6BCrIHl89Z8DPH7KouchebT0
AJWrlyUPX+dlmf/Kzgn0tjhCBPnPciwhjgLOfRiJ+IrYgVr/Y3Oex+PbugMwrncvKoXcuAfC+ysD
FjniAUUgBx+kDgy/9zlIwF9hOPCMnzDkeRz+XHgAxM3LilU3e51Xv53t7/pfF6wwPkKYQcdXPOVV
HFwCcfAXepC/f86Iv8Hh0QYOoXhZVcfrroORv18+vAUd3s9NEvy1BY+e1ugCMj1jhPrftOEDFeWn
rXoenoPlBwi9flkayufN7H+xOA9zQyC9I2gyfi39DpxGHoHDENDuvxKxgwD2kzZ9B51vGzrE5mVl
lDf3bfebuodp1OrXRTJQIAWFuh1m6J6lwfxIchicII9klsdV+0/a9Dw2TxYfYPNG/X+d7Z+Xer6c
zBcu/OQd/+GEsO/DyAqEq+CbVPI048Og8EPbMSDf4t2Bw3wd4P17a56H4+uyJ4b/l6eB/35S+M8B
6gh6UvHnyetHw8Lfv/p5ezAQfrD0a+/12VLly1lt7/54xSWCji4UH3/OdD98zNO+7dOxmCer7qEu
gg+B6pEzIgMGvS0fEQyfN4L7/vGKCRhlpQ+cGsPgqk8CaMMY67rsj1f+Q7fMp0QyDpUnpgwWtbb/
fAkiKOZEwNi772MscfDn1PuFrebUmj9P5OvPv5leX9jcdO0fr+AW9Zd3fTY1gPlADoPOGGaeYK4D
cwTXP+6vYLAe3oz/n/TzgbXVxOOOZlWmlmWe32Q+m74MgH+Z/37mNkD/D24jGBBTaIBz6IDDuOLT
27QMsWJMDYtZUA7vB+SJlUAkdWroymGd6nqA2fQ/UXjmhg/z83+5I6P88ziwJFg8WPR4Y3opRV8m
LOZ4klrVGlVZ2HuZHpXhxESa6fxa9LzYdIm46kckPdVIvbw3M8Fr1MjiuGUZOcbN4Mf+0hfHcq7G
U50uywmeyvr0B/aCn/7FXoA8gMlzCbTxoSX32N6Ce+U8TobHZWL13TjMZdhyDP8tpZFR4SVCjSln
o8qFvXMWLXf9JMbbOS3qNe1t8Cnt+/K1sVN3nE6L/fR98/y/PieCcYj8HAeEwDMJz+Nj87hsUF3I
mcU9rgOQDHE5hTm1JOLtmO3mYuJWGVzbXdWRKUYeSjdd6k8x2Cw22RTwN/6c6vN5ynYY11uUeZdT
iqlWydCLTLFmKN9BDBTrIQncRWV9+6FPcbnWc1NffX8vAUTMvxw1dD2J8AkJBPz7dC8iX0bU9YTG
dV9lJzN1IhynyU+jqRbZ8ejyvgw1QTT2bDveGTbaRFXayFIZ3dHNxKR32U9T944FA/EUxuZElx59
O+Fy1bb0lLvcjwzPh5BXXnpuSD9sO5tlsUuLdzVtMpUn9K2kHTnrvD40Zj4Xcz5s6pnpbekqdoa1
aU4CL1lq5WcjNcrPcbLKtGGqgHZu3M8iUH41klNXo+xOMJcuCvek3lHWLKddoUmqMohGO6fROKvC
92QX2WUq3n7/LD877tP4ASr+w0wlxwRGj9iBm9VctyVtZxrjhOhzi0qzssWIToQv1pzgT14xTuf9
nE9tqCeR6U3vqvETayr3Iaib7rRJx0Erv/H5drRVFXGvGZkyhuPQS0h9YTPbboahTaddWuv5TvYj
vu7rxO5kNXlvMSnTk3phaRpWdY7UnKLpRJR9sep6hn7w4EBk/cuDA575kBIESIXgCk8fnFqgeuAP
TtCWzXCWar9PHo422NYQ1i+8mclVg7GvElwtl64R6Y7UFI0qEKLe4CUQr2lL53s3pujj93F4Jr4K
iOXQtIcXEuwhujyKdlU666GiI41H4dOQOPspG+Zt0JVTxKcBpK3vxdZnjgH0NxhkAj1IYAjpT29m
IT+MYu5oPM8tf4vsbB+8uDj//l2eCYhP7nLgpZUoctYSR+OS5Pk9gu+Hncy98WoVdGZeff9ez0QE
oLyQoyGjAtXyD44PHsmirv2GxgZqkx3x9HK3sIadBI6gK39qIewaO0qrYA7fXEiTuOj7BjxzpDLg
geRAwOErX8HhkXojrZuM0rjq+HCLxyZQU7LwH2Rh/+FjHnsrFRiIA0wYQAiHRjaH4vjxY+JDyBVz
VbB4oO6qbv001GheF/lwOekbK/PzyZCQTOPdNM5hn1Xe+YKrREE+EVFBxjmSfd+GXRbYS9bW45qn
XafodNX6dROWc4biOk8rhfpsWweTPysiFxfpsbkv0jz8/pEdPh9UgCQfQK4MMPTcEYFK/vFelmAp
m545HjeQdsKkz4Vi85BGC7PeD9D5y7GB1vyQ+DADAoOpOHg8siXxK957MuYVS4+TufQ2HC3DLnWm
WpE26Tdw1PIHNwUqeOjVDLQjxIEuQWTlFOjZ0y2Ofkd9jcckHqrxhualjUkq3Fom0/iWNFYzhaf2
ykvzrUvHd1yaYsXH2d8XqY9Vh7IdcB81c8EVSdhFW9coguDWrHNXr6vO1KpN8neJ376zA17naLRK
iLJVrU581VSdVXyctrQcAuV4iy4kG+uw0ZWS+ZylyqOVp3I0o5XDCT0VNpmi1KGT2veqFZ/GTMnE
9xSp9WXfZFKZJq3Bga5mXoYQ9LdlIK5Tafvzhe2DerkzaGnPzaJpZChN37bW68+9pvBXY9GmUbIU
WOlGaOVaXqyrnBkEP1fFu3nxcDT1uclCObXDnV9Jtw6yQBZKdyR4N+W+WEmkb+p6uHBi3cM+8yLF
H5Ocupgm2qjcS/V7mMzJF9VV1K1oU5axyWW9mSqqQ392+ixoivICTyzplV80XYyLAHKu6/37lpTi
VGvernKc4ijJyzEJJR6SeBkZ11ECWep92ZoxzlszGVXMYV2xa1rnNuoaolNl+j6owqXJ5p0jWXCZ
ZEMT8nyOJ4JiaaeNzcyy9iuySdhNP5RqnoKom335aR7JSTn2N83Q3xfALm9z35YrshgdSzG80Vlz
3OqpXbV9N5wmfoNvm6Igl0PpqFBzbTV8VuW1Si5SSdJcarncTmkvToeSB5uudk5lfepVqhQTC7HX
DeduWqY1Xip60Q1C35kWYOudQIFKsvSTGDq5Tpek3aBG1JdtJfBb09TVmzEna1N0tlvlxSQurNX1
pVdWvVNTijIaar+Zo7YY5tdVunSXJJn717VfyLDx3HzjZUm9rq1Xnnl1k26WyXlXJRCts75osrAA
GTbCjeZwZ1afJYvXx+U4obgPBN57CXZbyyw9813dRBmgt1kK3V1mffXBDXz+UDzscETUW7tkuEBp
sF7sDcIYh0LP500ynyYeb9cFKsatxaX9mCQ4u7EIHsmG9DkQcIEj0ZT42OPVEnVd00WLXCplp5Re
8mbMzsrGLhGqZxza2ZlPArXTyhuC+VjXTp8bKu6zhr4zCCVStdjWiXJ+Pr3hLbebIB09Nc+yAk43
EdW32bIVY2FU79I3rm7f1HLsC9VR7D5UFne3qSjZRstGryWZbVwnxg+h8mlPnHY0ctKxTeHqauU8
kcaUgFEYMXMbOOOd5mBVVOME3lyaK4iw06bRzbjFHWExvCtd+3w8SdrhntB0V9mJqbaQzCiDyBQW
eQZv8NLsepikiIdp8FYlEeI8aesyxtYT16SfP7SC2qvKjeyc9hAVwAeXKCD5sK00vVhqRC77TAMm
fm9NlLVjfxzgdgSn6rJVJscx7CUJJ9/WJ7wYMlUSlqt0zoqQJkv2uiOZhd/Vyw6hBjZomzacKURH
GrQzJIhGK4ozaGv2pj8ZUjqe5UtSXdLZjqcd9XTs1a6LsqpY0yB/12S6XaWsMFHgVQ3EVReVgxyi
ydPFmS0NUbM3+R/JWPRqFE0RNTJDUV6mzYXvaZmqBEo7tiI6uCVJQyEGpoWLs8xEmJfnXof6qzSZ
d1gPYU/a7VIWN0lZGthxXV4SNOGwmnP/Di1TdVUPBTB9MS7Bumh9LpRbTBFNjp07mOeMTJ0tm2Yi
1ziZQmoCX/V9MijO+7VZ6j6Wzv9ghmaXYRpVQfnB5AFTuRmC9Vgzf+08dG3LOmqzaTg1dEhOxt4W
jaKobt92i8ZR3YwmeZ9CeTaoLNF8NRdzB9X14nYd7tLQ1ySe2jI965dWhJ0/4jAbyeKH3E6l8hrX
h30ujadoa4IVk0Ee2jE5Btph17Yoyp0l3nDh4bxZ5ciYk8za+piy1l4FrLnMSjwrW0lvnwfO7heH
yjVOeH6bGBHE3RTkJ3niyFuw2sZtX9IzM+TVWk5iWWeszvYSe8VxI1CvOIPM6fy5Ab+o5WbI+z6s
uwLKwWoWUZtava0JzSH00yYqXYlOq7HuV10DwbvI3aXDn8oMdATFvLm9ER03YYuz+sIfq/mKpaXY
1a6ad3zhxQ4FZI6DqkvemEXOb/uqrEPpV/hqSptmbWgAuTDzi3Xguvy9sHQJ66BtVkMj+Ns6RWib
Z9IeFySFdJvNF4iVWTSVJL0AZaeLEez2ZExnuuuGlp4kpKdxlgzoxkdZflnlHdm6dhQngUz7GMki
PR20gP9r5XDW8OKu1k1xk1GNwjxI0QYe0bjp2w9C02xlKuCLiruH6CKzDJeqqoH3L5zN2zYgMfHc
cd2fU5THumXmfKzyRqX1JLoQ1yyJvV7wU9Iwe9UtOb2jeaPfct/Q0POC2zkJaGQzBOmv6YY1HQcn
Vbd0xRomlYzyAqaPu7JhEMMCtwq4R6IcFW3IPddce3QIEBDTSg4rXtNs2xBer9AcBKrCjY2WQMOD
n3TOq6PJsGBbpMOyNQK9EUHHLwSsV/3keZdGFtXpkjd3rPVxjEpHgAFXzlwb1595LdnwNvhkhDtO
yyW9oKVk0TQPZZSOWbEdCJxzynMaNmQeFchRp21ax0OahEDUkpVL9FiDQDBn8eBheT5i2Z93XZu+
hhKTYWWqHK9kYFimeDu4s4DI5JY7jq+07tCp3431MUnT6XSapvaupTnSamiy7GY0YIyHAnpPJiQ/
ijwzx2WeF7GfwTqcCC9yzDisciB9q4QWZFAQF+a9L1t+ood29lRKrImd5OaqNtxss6YY7qtxYr0q
iFfv0kwM69bWpFYc5/i1lwAnKbJSishSyNcDyD9WaZagdTDWAaTKvklughr3AH4lgUaOOl3PDaEV
8MyG1arJ/EXlrV/dWiqnt44vVRq5tuqcqrMsSeKiJxlTjS3kWZmVw8ovvTEiUAxNEGw8+i5tIAXx
OqneMb/na0k9b1blWFg1jlqeyqqpwXjEiAY+U5B4qL2mVVXjLedTCQJl1Lm2Pq/nrD0thuJKs+VD
wIs3vQ76VZbN/rFLk3TT98vbfvHBoRfdhHNWuk1PFhv7ejBKPKQbBNONwG7d0jxIRFNkNGuiuhL9
iU8cXmVJn604KZJj7XGTKqeTaTtk4yrRJCp0JVeQXXOFibZatbMpdt6U17dmWnZ9crcE/EqM/o0T
wx432VbM6Xtatm8z+GrFRqeevmwGJDYtMjwMkOYn1SDKLqpsriOLcOuUXRZ5plHtIviu67LRlddj
kKJ84EmCmlNJXXfttWUZYStIq4La789Kk6eBahml+2k0Ig/BhP6iSWh6WcnpOpk02djAmHfTghar
3IjIBqSl8X4oku560bxZz5P1YlPXfGO8ORWKQtq763sxgPiKE5UGLFGJIfUaPFk0YefspUiLcTMg
nL4ztsPK4V7EzKZmClN5TExZX7ISBBeFZd5EQ5vXW07NeItcDklHiIE0Kk9pHTK7QM2K4E+2qD5h
+SdYY+LK6aWOmtljkFiZy4JwWVrvuBxFEQP/b895JfMsDkBqjZ0v9ckQZB5VObN8VRUZXxcSdRBy
A0tCnPveyrRSXHsTh4KBg2j4Oltm+w4KdrQDicKunfAlOHcv117qpSpIlktcjOEgtbnrQHRcTaRD
e/BhP57JmGzKXiwX3oD6eOKyAhrcO7slRninKCNJodDkytMqa5JzB+QjpllpQosru+4TkUc5CfBO
p+J1NaBjX7f2w9Kn+RplTXYdDJ69Xijxwr7u5stcQzhttWSXEsZ33me0kld96funPkeJgo9MPz6E
wvc6tdl1P+qGwi9LvHMF9VVdePI1X7ruhpeylFHf5R8hsFRn2TBOr0c050WU89KucNOa9+NsGthD
Vm6yVCwnVZenZ3hJm8vBTfbYFjXZ1mnfneVYW2U9P30DkzPJee2nBhwItJeRiXyngbC90TIni3K9
rNbAeeo6bobAi4We5KYZ+NA9qAz5OSiDw20ZgDI4ebM+tnJopWJ2bC9Rm3GQUxY3bwzwtR2rOnY/
4sZv1FKY/JLAo3rZiGI2mfJG399SDvVxVkE1uSkdiLLK5GO1agphNpkZizdtq927pggQjgmCxoGy
zYJkBOS8eN3Dt5gjX8w4DrTnWsW1hsJGpBqdNNmQnXkMmRhTW2+GxA3KI7iGMjBzF5Ami5UjS0XA
S5o0zGYx33rYmNde7lWhqASNmnpJoDg03VnJp0ueCA4P/1D2mxq24Kla1OYT/BiwcAwqoJblLPio
pNdAr2NKBb3ysjSPuCuAhSR+GYSNTNvXuMMgmCIE/A4uNx+rOpniYRn8czxoB+U9EJ6zxHnDnmZJ
8c5Qz7g4wbQbQmuCMb8iWdatq4YA2fWWuW92NmghMqTzFWwUJPTaTR4UVZqsIanP64kzvSmJh8it
TpL20+AXFZTWoByaYz/QLAihMKDjTs4589WSYD5H1Vy6MQIm7XnniLJO7PDMqjGeKH3b60lv6kWQ
q2ohcpN7eTMrPdhOKGD4hQVvp7WIoc4cz7tmbCAULEs/qaTMZbbSZqqjzg5Abvki6nhu3eyfgLyX
oJDlFBpVwhaLomPjbaeG2tOSyPZ1PtAiHD3E1NhwqNM8MX1aarlokIGD8XjxrP5AcT2s2rqCFDlD
hk0VGgdyorle3vgmaD9loAOdooV6d7D15l2fjC1VIqm7Y0iFEAYAm8DEc6+FO6Minc9ay0StRL9U
q4EO6ATUsBTi+aCrMRpIlUdNYuvzfJDozCJavIfSEspFPjbiQ1G4EtR1CNxvGujsl7Eg467oMmHD
cfRMo+TI6ndtI21U1UHyFlpK4FdDlUOhl9trMyTiJHE0LVeeIB8qHwSosc3CoAugeQJ65roYluOy
HAc4bJDAlFm89CqfeXUz9VO3IqhOd3Um8HlJSw+ED9c7rvrBtKvZLN121o0f117uulj71r0hBRs2
BaSv27RMkw4ifMYK2Aluj91SlHsLdCkeR9ttwFXTXSN6fFG3hccUZEAj1OR7iRd2U5eYcJrmpI0o
zyBLTsNyWmAMhQFUwx982ogtqKvpzh+m+xYP9671XiMoAVRV5HhLMJ8iYUmwCkYIoZaa/tbVaXos
ZC1PiiDN7weu01wtNp/PQNmCzKCBWCvh+bxXTYBBBnV5Gy5T7d23ckxqBb21T61Px/bjwy2MCtjY
yaspCzIaM39ApVqGHEr7h+92zwqROVA1HkgYJLA5OydQgi+31LkB+oHL+CH3alOGg5i68ynhF0PW
0dMOYjCFbSVR3k0tKDol6XdD1yxbNwadAu94h+BTmPI9GkRQmJRr1s1T9RAipsjNy3vRgw6XrqUO
3nEnxnPUcPK2ha0fC0jDCvTFbgs9LhuDukRuITuFgZc1iyqSmZ55eBpD4DKFGqtSRA1eTjOjm51k
bgiTrqnv5moCuU333jqpodb1pqIOSTN2SZiYmYdW9OAHHqbbFihtqmpIVqPqJkjJXelPa+YWb21R
W0XaMduqtPfrs9b3zAoFjm8t91OkINLh61o49hGkjEJGYyEmFHrFtF1we6UTl11gH3RB6bUV1IA9
OU2SPuwKeA5nNts0FMLOG0C8G8PFD6DpKkZ4YjO5s4N8O3qE32YLY8fl7OqwFAsGaVZPEYXce9wX
jJyKoWeRALrydsCs2GmqdQjkoI79aRjDfGisgtHm8XQaRRmAluDNsSQZdOsM1FeXfIaqOBjGYee4
zD+mboEEXCUuJBTaaGWemtea0fImTfvlyvNSfgv9egslUZ7oRAV9Q2KRIhtWrMAkCkwnboWXV6DB
Vv51NxsJ9WyehFAC1Vu8tO2qhj9nE7rRFWHblIMJAwOPigwmna9H4JJrSNMFUjlHY+iVNMkimQUp
0K15eA9htOmg/KWFXEk7ArVPlrzbQhdaLOHcNrVetTnvrzos0KYCem8hmopmhLLLz1Ml6ehd5tVc
nDXWJsei0d06s66KxpGykykwzWYssVmJZikiOrRQA7UVi1xS1Bf5ZC9aTchrPCXKOP99btleVpIq
atmUK2B8TcyyRbeRcSzs5uqU9QndpGmGrmpLSdgYIo71PFaneVvemEz6CldD9qnBPr7mLghu+tIm
2xwoSOw1w3XijyUEaTZejXpEm76i5dkEmRQmL0zcpkV/lXhLes0Wrdfw9wTZytegMoOgS05HE/Rr
yupu1bfWKGiGvOuFQzuUVt56SvR2qBxf9wE8RkXWfeqgWrmbFxSS2pvCfu5dONGFqwE6X2X+v5x9
WXPcOpL1HxpOEAsJ8mUeyKpilXZZsi35hXG9XJAEV5Dg9uu/U+6ea4ltWfPhpSOuWwGiAGQCmXnO
ybY6ubQp952uVSKyHrmhVAwNTjiT+5Wt2eNgzGFFPZZ1NfYYta69u/TfeF+tl3Ka2G1gBu1FWnG3
jRx40hr5p4Snrjk0ynW6qB1osKfebed1CMUG1Y6x9npzKBbRZtGA0nK7d7vyMtBAi7TOPizqmzF3
zHMVet9N4MjEODM5LfWAvw5K/964Om56/4quw9FpEd81g+SXustukfttUDuokiYr7hvHc79m7TrB
NSEcplM1I50/LpdIgH1UIUdawRUxCg8xzXMk+0bTnpjOL2VdcMQSc/mdDWkeK6a/rKu8Aj6UyAgi
h42MCJVVhNo+xXXgeIfWQwi0evlJ0KVvoybsqjYaalSy8PQQl54zq1ivCJD9chFRw7x6H5CqQJIS
4YRHwvlLDZ7uZTUqvmONj6DdzAcJn7tzhVTjrsy9r01V8we/k7XZy4xmOpoc6h/4UgzHcllajlxL
k114Tq78hFXEe9YjceRfKf4B5qlbH3FvSB4ZFzlirRHZNrWMewW7bWPE0vs1CJbwgAIFUhk6X+5T
h6cPXctMlJuwCRMR0FPosZ0MOnrReTRHAXOcpuU4ijX/KxUpbkVR4EjpnDTFo5OvBUqOhGXhXzJP
4YhB1Bex22VOeunniE9iqXwyPYdhoe5DKTx2Qjm7KOPFoD6CAm1xVXrjGq9qnuOpo8iJ+kMeGYn7
0HdRQoA/Df0uUjr/UEyjejADh7eF36gTVqzIaU5p7QEHkvviua1L89fSUO+7EkpFmoemiqYQ7+Ye
cV1Mm7k8rOtA46BbyHAsPFz3pYutRjA4IlpMW6BLAkc/IVGs9wWdNEqYg7gQvoccviMizgcP3qq8
8d1mRvzb3bKCnvqq/StzS42JTrce7ndArW6ZIy/7YnAeOJkWN+KylvceHiTXOHHZc9oVHSLiLpp6
6V6JhXzX3mx2cqHtsRy7HNWlpYuqIkzGKvwyyvGD181PPO3nIYLhwuJX1p1mhW8Fckh4rZsb4C/D
2Nc46FWOZKP06BlkQ8wH3N01bkiFLFlRttUeYQAi1cHhs4zKdax+rKNXxpqzPsaz51TXGYsGkSJm
4qMLlImPqlQb9tND2NTDR2naNZpzhiR16XU3BQAMbqmue+akezILsiNBhiRF36TpE+KFyt0Dldbt
hGLraWzY8CUnRV/F2l/my3XoXRmPnirw8M1RFu4GXLqVkXB5WRwgX7AUMjwuLjE7F6EOhf+pmhu3
rL2HbgoJHlrIn+aug+KIVzz30iHJMsLjIrc6X+eNp3c0ndenRSBqq2KUspDZ8HFYbn1dPU0TYfdy
Jak89ANbvrRuro4Gr+NrHg7+09KtBMkvlPXwJFq9uCmW0L2eS8ftIiGwDMCDOUVS9TK9ZUgNfUNs
iihkLdKbfJQ1EhVYP6ykkwmyTz1SfkQIl+96rRO10HiqiHvJQwf1gn5UH6uhO2rTTgevmj4NfdVh
BeVHFJCTlgTiWKKWtDer7mN3WXS287SHHHfh3DKJkiL8Sv5xaEQJxEiLyGTEQYtK39V/12t+03ZC
RTxfEkH1rp7KZu+rCVc2EvnxGuTIwGftPqNs3PVA2piI01YewqWiiPGBhvF33Mu/UkO9FhJZ7XSs
EH8+uXWI3KrPu5NX0O57rZCP3c0UB2TKdZpHVReOD6VH6Bx3ZFBHlSpEDesqrkQWVB/p7Pc6MUjW
hbHL5Yp5iS4aa1/eZ526GYTBy2Js8wtUTlByoFV5nHVYVjvtmqaLeDWtH9Y5r48Ank39jmYBPQbK
LUvgLQzKCUtRPBXwit9WoklcA1zz4LfpiDzx3OaX3srhwjwx3g0KZbORpgjkGupcljltETJ1DT9p
OvI69r1J3Ux4x1yMSyoHlNBajmpaNi99tJYNjH2AuOhuGrDksUPNJ9WvGeKPNdjn/qiTKSAFnnX0
5IsW1+CUeYnX4wUVISil14jgmijTqCqOu65b7+v2e1/kzo9GzU6shXGu1PnFO600/wC8XnPDwtHE
TVUWd8W6+keYErsLkQ76xDMq9kHoeLtgXGvEe94Q0bWnsaeaOeZFAb9VU3UFnBPHs2zE2zntpkt4
3Dke8ZY7GHjpxGcKdf9GnytjXUo+l0g3XKSoAu1aFWa7Omf+B7OG+bUijfeNhEKkEbJ6uDxUMbOd
4Z4TZZNTxGVmph1ySGznZsRErXKGJ51n3gPB+bzPWoKjJNmAvMPafPAA1Yoa1KFi3Dz9roCTRYJq
5Ce3cxWyKWrJd4Hyqoe8alVien/43KXwdY3LUNCfaiDbosUt8Isrx2RjXNYElSUphn4vmuwb6Jn0
2RuD/HahfbdDOdGJKYCKUVMwL4YCwBhTV/pYqbKJi5otl5kT4MqRzYjdmZou+MuZnOc6WH7IUbBr
SDne4UAhW49sUlyVQ3GXOaQyO1Poc+TAs2q+CVeUrpMWUa9JGjjPLM50Px5xrDs8HxlSplMVZCdS
5PKj6Nx+OV9Eo7trwnKZYwcrC8jAGl7VI0mPnqj0NyqniCHnngo23HZOtZxqdxaxUs6o42EqAJ/J
hjy9l0gWPeB05Z9V3ZKnibJy54te7qXjyUPapOutXzdl3AmD+DJdRpSdS+I+AXU5fFQrRWIqqDqk
w1cSnDJNuxiwMfkjlGuwa1NX7UN/XR66sGuv6qquDrgtyr0vdH9Rz26LeNQdKcov5GeUbOKZ1d2l
UyD6orIsL7xFkpMzhEN/vkNYvJbBcuj5uN4g0TKc1kw5fykp/U+sx0O7RpB07J2sRx5WZMmcF/mB
DP6+pLP57oQdPeUTTUkk6OSXcUbyq3Sd5jucyBJPaq6fG38svrGwRC49k+sDmIjjFC2Id9rdgvIx
EAw7ZI0j4BvxvwpZksdFpqGJUdwI5tgdh/6BzFV/w1XTeTduUI8Xw0JqYJecyew9xFrHLs9QQV+V
e7ewLEAk6VfkGJKs3Lf+AIwKaZHVCwvxmI6M3mRtg4cIEUjalHSCPcP0WtmjiBms5cdMV4CQOIBQ
rX1z7TTOR1E7PxignY9V63QfGsPTg9PM+flV24wxz/NPrqPH28VI8chmNX5wlrHZFcX9hFTrgfLC
PKnG7+88wuYnJ82GfQEgyiVr8iA2IjVPcCtPvirZ9eKc3wdTpW6Y4vSyLns3KWVW3ckhV3Hqjer7
OKb9oZuoG+tqzBGquPAOAFgdERvmMu5aOmQx4B/eqRR9l4w6WJ8r2eklGpaVfquYg/dY37pOVOKd
fFnkntzV4C8cO15Xu94XayxbQ+OOn6ERtQngmmR7qlofeR9/SDQT5qKd0ibOfEKevLBs4Gsxqyrq
8orcI9maX47rwA7I2RYYVcyHpnXVSZqS3bWi6/dVGJKdk9XBpSFIaRT13xPyNf6MO6NMzZzgGR3q
aGG8i9Iic+O0L+pj5yNr7AfyOciy70Ap/QiQbY0lqth5Sg6zAESt6/0iabvmh/JVE4W+k9S5LqNq
UXB+C99l1XgltbyaRPNpNnA78yp2c4nCkEMWF3XjbA+TjQ3huzEX5FSO7cPSkyMQQ7Fwx+y4FHUZ
e1MOBAKqQkM0zShkBQbpnqp3I0md4+p2FyXjR1MsV7xD9nuBcNYHpLr4sQ/m4sAHCTxyu0K/HdX9
4otoF31whCyuA5GrB4r616NXI2Js1hyp8KohyX+tjYt3I0r3e6EG+ZeTZfwaIbB7WAOpkrrP+48/
wXn/5mjcveQZfGvwgVxm/xbY/+c//+exAWaw+qkA/+sfz/r8v/4r+dGcNQ367R+dv/PPX/1SkT+z
L/6RlN8wOv4l8v8G3eOP/+crLsgrxsv/UqvOVAmkB1/gE/+DB/KKZ/PP3/+LARIKaGKDsgFuFfch
cuYDfvqSAQI9cxeg/+BMDvmHAcLEf7vQSPFCUCPw5Ifa/D8MEP+/oSHMGSRtKMCP4AVRewaIQwny
tIC2ndWKXuIn+3ROG+Rw/GNGdqF324//XyjhX+Oeoa4voMi2jJLzML+grL+G38A+i394EpnutP4w
+asrH/8PjIfX2Mtf42+IDmCA/Js3ElKvX+9bUoWIX1nhkchFuZVGnHVD+g7++K0fswF4/qLFzLgm
WRT8pMQ0ix9AQuVPiO3XANZfP2ZDu9mwNgiZePUwufAQV0sw1HPiINei4d3e51j8fneCM9D6xeb/
QsiPZSjmiyYzSK/yHpW6/Z9/0WvE9j+/6My5fvmBX9yNSfViuvAXltK4VT3NrjyVFfSaGIXaU9d3
yClHbslJd3DrbNTHP3+fnJfuN+cv2CC1238ID0ZKACL+l+fQKqSyVfQvOoNZhHPVTOCv7A1tmgC3
gwxoBRGWP23qG4dmy2z6DdZf4EJ55/e9NfjGK1hi+98a/fzvL47H7zD9NVJe5h1o+FvDb3xDY4ei
f2v0jWf4RRIYGmdd9+6MF/vOb5tGWE5/4w3oP+j8ueGImxffn3nUdTCl3Z9Pzhu+zd8YTxWOk1fg
iZlUZd+lH1Ck7swn1q2he4H0RijuwS5k/unPH3truTa+hxaLUzd9ixdUswigzyHpM3yqhsH522p8
sXE1PVB87jR7AaC6pNovkjuAUOSq1+/sxvnE/8bQxWaxwkbx0tAlTYBZXasDHuLtuC+nhaDgmgNd
bvmZjT9hvEmDqXVEAuQIRTreb2oXBTZSzuBSDNNsZ9fifCReWF6HSnfK5ipIWqrWR4X04m0t/PDx
z3vx1lptvMak5oAAPh0C+Tvn+7LXgl1JvjTdZ+UFYAr++StvnKgtRTILZKsC0QaJLvlyAknHvQ0l
wfPcbnj2eomaNF9cLI6fGIF0SuQWM3/2V5Tu7IbfuA8zigaKX76fjCV2YChltefGEa3l7DfOw+Ss
XlBNCxKONCT2YAmAvugBz1ktP7CxZ4WkVBeiipKEpOrqU0uAxNrrQqzTndUCnV/JL48oqjGsJ84M
vGef5Z9E0Pd3cy4B6rAbfmNoYtEMhDZPIJvDh/w4rGwOo0ydy3l2H9iY2JwvHZKBqOWpXrYc5QQ6
BlFhuH7vbj57nt94pC3JD1Rf6VaoaCdIIgPcV0iG9FLlrKN/IYe0UvtZ0qV+KquAfTG1nOp3PPlb
bx7/bJAvnEc5y1QAYQdXWAZle5E5fQr844pcYr4PkLNCzbgeinWMc6Csq4OaVyl2PtATzcPoDr6x
XOCNgS6p74hAOWlSCcfsWD4hchYATv15+8jZUn63vPT1r/TGYc6BDgsT5q4aIAeSjgMKOOtaHtuQ
ieVW9lXzd+vwqTryNai9m5kxWgNFFwTFU6Co570zlTccnb+x5aAuvLaZcp60Iu1Z7K/hj3aep87O
j/obSy4188kyFwJ4f3D45ECQCpcskN//vJBvzN7b2LEh2g+KAhyaMxD82cPtdtO7IFXYjX42jhdn
sWMo+DqOCBOvRCSDTEtQrZHJ9dK/c8resLKzetPLD/QAynh0Bk9sWKaUngKutft1Rqpb71DJdUFz
z00LUBWIRvJbW52T83a/bOM/2FSXOETaT/wgrZBs72hfRYvhjqUH9za39C/GpOk8sv+/kiXf2vbz
v7/YGD8N3bro5jXpDUqZaw2ApK/b4h0f9NboG9uH/lbmzHiqJgXNgRocUI5JUeqxPFQb00fU0wQk
b0CxQ9wYodbxuZb8vYfkW1PfWDPx25rP4LQlUizDtVlqsCXKLiOF5bnZmHNWmKFlwG8lTlqFJ2Da
1C5lAU+sTuVPMYUX28ra0WsHhdGHlPJ4YuLMDyXvkXnfWBu+seagpmswCmyrMwCeDsTaGAFqxu38
6JZVXSCn7k5pvyYdyctDH9bnIjVfD39embPZ/Oa+4Bt7rVMvW1fiTMnkeD9A3gZhAYT7tk6GSfiW
v2BjsgylqbpQ6ZQwINg/hENT7Alv1DtU+7dW//zvL/YWDGDGp9WfkoZ7/gl9zcwOcGhLd8M3JkuG
qkyDtTCJ7Et+mZeVuG7n0nLqG4vFRQ2OHGFDArZISgBRokDBZTOYUX/e3LeWZmO0Xip7BVQzYK51
Pl8gaT5cmTQtLY1qY7JQ3HFGYorhoI2c+gc2uUF5C0oBgE9W0z/LRL7cWUWANJQj9FfA5V1j1XrP
C6Az7xz8N9Zmq5/iFQ6o20E67rsyIxHrDdjiYWgsp765f1lbcJoWwYiVd541OM+ARs6p3bayjc0q
EBUdp/f/PXUO3RGgLMB4slv1rbV6QQoxGzLuwwlJY3oevbdfmPN2vLBW5Y5gPgGuvJ+LEFJGUDmJ
fB9gVru5b6w1417QgEWN0Tn90eW8PMhcWma2zpJar6aOzs9BLjF4uJoqKQVqc5nyZ7u3wbmI8nL0
eWAiBVNg3HtDCsYDGQHmbNPB7nr9qYDzYtmrrKV1A8LHvgYiA8iP/IdBTd1u1enGTvtVD22ToQZd
qYxHPveenbGnloNvLlc39TQATc6wBzKhBigoB+EZkBWr8/JTauTFsnR9OINFYwwK0SFwewVQxkZT
YTn6xk5BnoOqBTSL9iI05LpHeeQuFbK0K1Ft5V5mw8HEwMgJUEXArKw1BHV2zuAEvd2Z+amm9WJx
aAfJMdPKMVl4VWvQfVovaSc6fLNb+42tkjylupkr3KxpX16ERU92vQK7x250+tqcjE5bBjqxSYaQ
fSEFvQfT995u6K2l9ktRLYszJHnm3MA9Pi8UYDe7sTd3apjnlSC1GJJiyoKdybzHBlJqdhtKNnZa
qx6wisCYxMlR3i8LwN9o59rN/KeU3cvT4rKpBWQP5Mly/p4v5DP1KsiVWtSKyOYyDfIJcKHCWRIM
2w/RSnsAsJeeSTvXSzZ2Cu0EYP/AW08gKOo+8QF+IOqhDmf30iCbC9V0JXXLtDFJ1eh118zia5ZD
GcNubTb3KUiUnRhzDXD+ope4qlpMXb1XeX3jjXQGD7y8k0JQzvPWAacBeo/hddBLcl06afvZbuob
E6UDHfQAnboEsihZxKrpSQS55ZZubHTlTVikmTKJ9gB7JcH8XHbBnd28NzbKJz5DBgZjA0n2yM1y
DUGOd4QU31hwd2OhUJEArpNJ6CGkjgM+RHqVr2DaWs3b3dykQAm2YnWos0dv59tqEc+BXko713Lu
9vHypICxNMKbY03KrL5vZAOWeGY57Y118nZa2Iyc+r5Zx6Oe6CX37G5Qd2OY7eINftMitvMreRU0
c1Lr9B2xsrc2cmOWeTnMmTGYdFt9XAGTLcQnu03cmGQZQvJmVdhEnqmveg7vg9W381Pn7rgv99BA
vXJeJkDblr4gj+sy0ARaBv3ObuIbi2R1OtdFHg4J+KaQgqzVMUzDJ7uxNxapyryH0KHr7KF9BZiC
CymukNldbOC1vV4WHOyuK11cyVnuz5B84c4uDAG2tZk6Ghm+Hj3oRwEe6ujsO/9BN7sAWWy7gTcW
mcms45DiGhJoF4B4wkASIp3/aDf4xiYhEiSXpU77PdRijlOJ2n7HisHqpKCL8+sl0ca4yikxeAB1
LmbabzlftOWqbOwy5N4CRa+w3+uK3XkYezaj7dgb0yRA5jM2E6SNKXOvDGQhLiD64VuuysY6M+CS
S7xncVA8YEVXt/hY+pnVA4uHG9ucQ8MnaMIMCcRVhgIciNRvdhQvoNzKtUDv8PWWtlPFU9RqhkTy
FgD28TOKDx+tjuIWrAW+gKt9hnUxRkJlwICGBM1cYfWOQELo9cR1Ngrko2dMfJ7vTONezGNnaaFb
EFZRCZeLjPVJoNh1CQlrkKEEtVvxLb7KSA3MpRmHxG3Le0h+xYXOrB4pPNjaJzQUFsmqPqHU+0kd
0jHhxd9227kx0AUVhT6ohh4AA/9Z9vNFLrwHu6E39jnrIVUBdTSwyOUUlY3oQHkv7JARPNjYZ+NN
dQhtD52ghAQG0drcCNbblf0h9/f6GJqW9iojk04awF+gRGS0cwnRleWD3cpszBOMcHhFbrCj4/K9
xwtu7oOvVkNvAU4DLp6sBdM9Ub78MLcQza4qu3O4xTZB1kH5Rcl1skJNaj9Oku6csv5mN+/N9Zmv
4DfqWfVJmIEjz5ebKnjv2Xm2k/8suUBW//VmTg7ywWMrdAIcvmegSuoX11CWmqOpoGaJ7ea/MVJP
QaNTgXMIjVH2pcz4Z6dVj3ZDb0x0hopx6YtUw/5HyFr3EOgiI7cr1XGxsVJJMy/XjGLinHyuRghu
gB73yW7mGxvN5q5V2s36BFxiPoFqbiBRUQdlpuwuabGxU55JGZigxJGcoQtQ0ce8s4vF+bbHAfjY
HQJmDJ0u4f3g5rcp863KUOC4vD6QYD2lVTcuOmFpRRMnoMM9kVNuhfSF+v3r0akYXQ8ya5i4uy7R
orsEhHA7wBj3N2ZazakDznqmk3psoQM0ClCCpF12GKyH1zMfNDeGQ9QqgXu8HBd6WXqznQ1tUVDh
JEuw76RORAqylwABKQQlMbI65lukU4hT4s5U6YQ04x0j3ZV2B8t5b6xT56hO+JPTJb0ffM6Jvi9V
ZxXE8XOzkJfhZzrzSsm20ImPlYlCgNCjbqkCO3+4RSMNrOicAioJqNtkXaypuocUtt0TdAtFgjxr
ttSe2yUyZ5BYmJCo2BvX8e0WZgtFKooQqLRigd2ABw2BQt//UObuarej3sY8x8LzU2DtumQNNY1J
z29wk9pVz/kWhmScGkqgc4Pj0oQc+kDgraoeNLlwVFY5HFT4X58awHMhszPXWHuZTSKukTxL0pR3
dnUENDZ5Pf6ioP0H6cM2CSA22MXj1FZ/m1BMlkGjx1+PTyrq8il02kRnS7+roNAbYYW8g5Un8Dbm
KsQ8B+7oguBc+jR2QXOPGaJfOz/jbSx2KIHA66FAl/QcGvoRWan6Sy0z1MLsZr+5Tedc+3qasTaQ
VoEsxlB9nEtid+d5mycvVMAm6FoarHuNthZL7/YHiBFkR6uZb/FGUFRlSwvpuaRIvfWz20CQk4sA
hGS74Tc2i3YhrUcXbCuaOHT9QRi0g4i8tAFR3O4Dm2sVxTjV1O2IlWf9dNJnmciutMvN8y3kSCiI
pPuDhoQmHx5y2d9Paniwm/fGWqFAPbGylF0i6vALml2QKOP8PWzt2SR/824/N7p6eUF1SJkHIA23
CdNF8AVN5uajUdVoeWQ2pgoRrXlZmdcksFQwXgF9gXCII/Z2C7MxVQ1C9dCWGN0bFwPd8PZC1e+h
mH4+QX+3MBs77fIZ8LqANsnoQ/EOehh1AWcjckgQSUiHq2PVLtODqfryBCa94ydDBpn4R1DcRHeH
/F+vH0JR+UeFumRzLBRo2JEoodxxI+cuQOuZlRed/gh9CDQacpeuhoheljkdBDFGNCkiHnLtUNQ1
EK0pCbJksY8q9XwynRMUCRUQqDul6OezQB8e2YQnB8je5UBY0YsdEzPGhOLzsB4kJM97sO3QJ+tQ
UTqvu36sWP1lFpyndwP3neJrTzyoXQdQJhgTPeP37tph9faFO3pBXAtKVOwv0GM5StLI8MoPavDC
3G6lDzQIJ4h7+PrU5r1eE7cJoTYwVSWE6kfNpbcfxQRtUK/MRh5LaOM0eM+G4QIlpZyJqGpyTS7B
fi7CE6QwBqj7Y7Wn2GNqPK2rU93oenT5jrvjeFaz0+n6UJKiEU92J2jjMKuZG18ZKJz7kMiAYIwT
UclCO3+zRXoxni54SJYtBM6rHylXD9BDt5v3Fuc1ohIzlxTz9kya9GF5AfUbu+Qg23hJbwQyBZpa
bULDEJKcDnprhSVpLNdk87LRrmS+QtEukRR6hLPq/vYLbffoYxs/WYwQGqmFCxXexbQ3IGjlR6gh
VXaujG0cZebnrqmp3ycSCm1XHO9XIP/N8Gx1ELctczTUWMaxHZtEBRKalpDWQzK/huSn3fAbT9nV
+QCaSNhAsN1A4Z8WV9kq7chf6MXz+gpxYcIeVJGaZEFvjLPS9VQkc+dC/8Ju8hsjJXVOVofhRPqy
8uY97WuzRpCLU93O6gNbqNeAHhqpkw1NgkLV3xBMh/pbb8fo4DR4vTitmfTYLaJJMhcCjdHQi7mM
WVjQv+3mvjHX0etWNkJvE3K/4RpEoukgjIpsB6Sl7D6wsdgJkm/EnSUeCGh7GRkxQaI7R0s8u9E3
NtuKKYXGHK5w1Ggg72aIH7fO5CZ2o29sFhLYC5T56wZEVyjj+GyEgpHfQbPb7mTSzfMGyiUSQKYG
brg24iKDbMcXxLSLXSqYboxWzFUHnUy8V5HKmk8pT00i3EFYHvqN1UK0yEALFbdTkVcy7qdORmao
KstTs7VZTSAzjDg5cZaa/ciANv+xVqayQ36izdhrq4LwXl1khUJ/TV+MzkmFNYndFPqk79QO3+DV
8S3wC3TTNPXLoE7WkjD92Kp8RCczUdN2N6H91SMIZzeOE5bFDq84BQ3GEMHoASL10KO2OrtbfBh4
ur5rCrw/p6XLAmj2FejJWmU1egPZfWBj2L7LVsQsZ8+UDiS9rHIJ3tnSLRAItPvAxrZX12gwXilk
JBnJVTRPxcSjQnFoxNl9YGPePrpA6JriA4uhgC2v5jPQ+9/sxt6YdjlUyxCatU5aXffxLNnf6+DZ
Tnxj2RK6h32vRJXgbXsoqbqgtLdLAfykUL5ALFYO+rtOUBBJBj72sXI4Sg1Q8rNblI1VD1mpJZnG
OkmNDvYmozKq0DnG7rxscWKTgG5SjR1FE7zZ+VoVE/umHVw3VnPfAsX6gtcQW4ekLd5aN2JcL8tO
vqPlcj5vvwkVtzgxOaPO6OumTvqZZhek1MFZ3nayu8TcjZ1Oys/RUoBVCXrZQTK3CILuIhMGPfXs
FmZjpjycG4aOfVWCBh5F3IXBUXGy2JmouzFR3dYScm95nYQ8m656XfFYDMV4/+epn6f4u4XfGGk4
QXp3Irjfy5V3ePK7vQz3pUvQYwoC4k39958/8/v9ZVvsDtQ/UjQB0GWyavEVgfp1JbLPdkNv1gfy
rygNgo4FhmCDxiJdb8YfE+vsKknQunt9T+Z4K9dZWqPRVhukyO70wQkq5cbKpBjErl7ljhpamHnV
mHwqM8T4hELYU8127gCayq9HhwiiWLweyQ4yDWSBNCaKv1CPrIvRLtLdQgODxU8Dn8kmcQ0b2gj7
gBZWynHRcsFmc9F95PUvqJy878Ywh8vxKGSV3Q+SpFZLz92NJ4ZmyBC4GnNH0tTb5RoVmtWge4HN
xNkWHVjDxzgKYM89ETr9MC5O+1Bnnh1JDWJpr5elzGtiXNpDvBNp6vu2Yl4y5F5gtegs3ARELZJG
LpoW4shn50Y2XXDvoC+E5cJsfLFZ0OAYLbNLAD+gzBWDU9o9o9EZRMDtFn6zrcGIjhR42ZYJyfxl
h4YB7l0DPt8Hq9G3qLLFz5HhQtuUnSQSPX8Kl7g3lLaeecegfmZa/tMfo3fk6531OYPqsG/gzXyI
j9+i43ZtjrkaO31AIGboAVp6fr/rvHJurpwFUcFVK4queqaQw4dALl1PgjuLBxnj1EBdYXGUuq1q
b6Zx1XVLHq8yS9evTbrk5lC3uHNj4xXzNzRw5JdjWwwXS56NB5YaNNlZoYGBhmBVztfHjIDfcq/O
OhWPdR606D5gBJrEupWe4swF8vOmgDT5usNf9/k1o2kzfrNb9M15BK6xo2dC8l6mpLgZ0ajpiuZU
2l2wbAuJQ9tVr0F2VCV0dn/4tLsPibyzm/nmYYBYc6kcf1IJW4GzLSk/0aZ/T0jjbDG/Oyqbi88Y
p5JrP6uka6HVgT6IK3rmhAtQD9D3HUN58kMfMu52v2RzDZIOjX04RNATp3X8PVdoHrW2pfxoNzp9
feqzJTWIEZlKxoZnOyddPw8FfW+dzov9u3Xa3CHElblR2qAjTGnyB6Cq+W2QyfmvuSDOOzmYtz6x
cTpoayskbTu172em/F02dLrLo1Ej2Q71XzDa3gmq39jyLWoO8ARpRr+ETnI+KHUw3kyADnPKfV6t
AVoGjJZlJ7YF0ckMuZNUl1i0mjoAuvmf4Ygs31RiY9AOBEeQCECTD4Jy3MCmw8DI/+PszJYc1dUs
/EJNBCAkoVvAdjrnGjJruCFq2kwSCEkgxNP38rnq4z67d4dvK6JIDEj6p7W+f9ig/+ZNXA/RcYJZ
zh0a3AtXi7uzkJYep1yg78+aVcY3TRcQfvnr/yNFpLg26zoewabD8q/Qujdfxcxvk7aSayswG8Tc
dcH0J86pO2LmOgd8OrktWSHXg3Rrh1IkWZL21GV5dtRrUPB+727K4wi/Wsgx04mUXNZVsnb3cU2K
bGI3PvOrZRxILO3kcOl9zw61mI+qS083bT/XM3QBRmidFUNdDV36wGn0MLPbqnjkeoYOY4UXI9yu
rnTv5/veWneKKPl0031fj9DVIGGsgUT42JPGHrQ2WQGOdna87epXqzQWg6lpHHUn3ln9gKnXL3MT
bjOHJdczdA3jTbSmsNCWIZXHRThQEmZ52ygquR6ji8KGfooy3anre8BL2/wx4sYebnsuV+fu1sdA
CJNJVE5l3XZMU/+mzTDcVlQk7OqkbSfhZpmNogLL+hl2/6feTLcd4tejdKHdtkY1CKSkW7piXMYY
3vb0H3bey8//D8fs9STdiun8HQo/LCK7gg4lTKkZHIVve+ZXB+wOkx67Ot1BtaRCOcJYHt7nZhS3
DaTBkPrfN3ShAjQXAzCXeTYBS5YDS/YAqHd3mw6SXE/TLWysRz4TUYEJgp7tB0wB/MOTSf7muV/P
0mVsT2BO1bSnJERkfYg7RSEwauDl+RlOSdOpAyaXFHxeFWh8qK75EuArusIhU7NwnBcRz4ddJ036
Q3Garqc6Jx2/qQJPsqtzUgpHdpJTe+j4Zo4UpLwSafFtfTVyPXhDgI3Y5QCCBvGqxZSF+wxJ5fYP
z/XvHutVnrpFcwLLEHfJ9Ixrzh2JwRVv7WDH6qZP+nqCcOw6x/KkhcO+aRn21tAvY9lSlpDb0qbr
EULjhmVfa70clgnsHJVnvtIiu6lITq4nCBFtUqKJWg7JxbLM0xki84zfNBpOrgcINV8zWztcfF1g
Oy0tQAeTTG8bTyT0KpDI2gVC/gXwsrRPAGkcEtDPRvnztrd6tVFNQw7IJandYU1bgGwjwG7mLYtv
O5Kv5wcbjMnGWUTcYcJQUDENpnmWQK2833Tv135lAJ1rkjCgmiKBhk0GJPyhC/S2B3NtV9YZn0zo
IbsD7DXT11Ftw08W7/y2CO56dnCnrZ/dstoDSGCyhOk2zGyy+jbDFnJt9rX4GZZZPNhD4MleDPFg
SrDbPt/21NN/P3rosLCIzLj1XcGuxbvwV2za27SEoGb/+8WjHdzlWhKA+qCeqYRv2xKb2m3Ne5Jd
few7ZBB1tyKw4jr9CWblJ9Wmt8mryfXoV6tQe5x0thy62MTFptP6UNcYo/u/H/rfpInX018yGeZ0
mMC1YTXQfq/tojoFfEsqwQszGqfg//1n/uYQuZ4EA02nzpIeP4KmeVStKW3KcVtumwQj135fugUd
0zFcvWlG0KcwBgbmYPh9261fHd1DjzWFeUZz0JsOZafmvrKqvu30uJ4EEzqLnaLUHED2Xo8KYLQC
Bsb7bcfH9SRYUEg3dgM6omuBlU7s8LYnPb3xlV4t171VwIGh1nPQOejLSm4AiXXmtrF/dPX/fb2O
PHDHwcs+RCCtl/2uR+Btw23OTVBA//vV6yyTJumZPnRubsudKjDY4Vx/W0BzPQO2JAElZ9Pkx74f
9897rLf3HgS+f1ixf7OUrqfAagIS4oJh5QM1CfQol1Nbp8k/1Qj/7upXuS4INyhXByGOGYjMYo1+
TXL8fNNCSq8CyQHQ3Rr8DH6Ez1cti3XHdKJrN/v1tstfrdNETmTaYyOOVKsRA7j9xtpHlsgxv22t
Xtt9aZsvCIU1OMg2KXqR3sv4xnDmevgLRlyzA01UHFWG4+8yDzHeNpBIrie/wGfo6pbP4rhfrI8G
n2Rl1ua+uO2hXy3TPpat28OUVXDhuhuNfo3ZbW6CJL1aozHFUBFRKqsYxh/6MXrMxu7DTXf9v0a+
YCPUGjJmVcoWlZwyLaG7br1a3m67/lXvCiS/uZcLsK3ZlGywUM9sdn+R6v2Tn+BlMf6HCsP1PFcX
DTrLfc2O4MzZO1evq3q2PG6aA3SqvD43avftk9vr/0dy/S/B2H/6o1fLl4e0Htd+lsj9Nj9uZSI7
merDMGDVyWNbb4Ms5kl5HGEjmXG2b30wI5DtUrNWHZFY94MCwnZYw7mtQ1T/IMRj7G6MMdI6FKQP
u/cFghw9P4JCnOun1dY+YectyvgMQPAum6grYiI6gNSN4xqB0MTw6goq5qn5oU2rlqTIBt6pM9kH
2D1XAQk9b6owr96UQyD99gkWcn7tCjooaHiKMXSbHYtELBHLgIaGNfxwl+gBBMNCoWbpVAFdgVxw
g5ZP45tOFbKBnvf5X0or/LNZ5mytGMZ9SbHgCQ3luvq0O+1h2UBdGmJixx8TirZ8KTYDXrUvKBCN
7bexywbxSzVLUADXhn0yqoDbVx/Asm3zO72rsBUjTKNs6X1nk6HiEE7Whx0tm/QQAZVryzrHlybK
lflAVZWuO40fknxlgEbTZb8gt2eA7kEJGEvO9Mqe+njp8iruiCdly9mMKCxXeZUrGOAW29ywecT8
Zj+1TeUEkmYgK+m6NRPubB4NL/KUcehG1u5UZxxhI/YSppZ7vK2pBcM6R2RXiCQC+hXI9PT77BSr
fNg3/mvp9kCO2kxgqu8mzdl7O6ecP4PnTcjjXrf50lRyh0YlOwq/JHBE2Blf5BMUGjnel+46jZtr
4l00yzGGqzGiMRVP+3AXGNn8zzlXHWDT4IACi8yhQBKfQTjeLrDOMRv5oQErGnmFXOToI6hYdgxt
wUGHL+tyCHiX03ROKQppoL8OYw6mKhvEkQ3tWII275VBSSJEdr1Elqt9iBc7HLzBHvXMpmbpP29b
2ow5PocpBUadULuVU9MCzI5cI8gKeU2bf8sdGacHse0oArU0XjYgw7VDMb8QOeUpIijnCECbQKuS
/kMy5GDMw2Bl2B7G1CeoascO3mo72sxubaDdAvSdAaTaMpisxXL5mcoImhmz8kx/4lQledXWlvY/
kfvkF6ymyiZwg3s62edhAUb1M8azZnWhvkMmJKZ4ovc7jUCeTVo/7L+7UQJiWWUmmrLnGYu2PYy6
DelZq6Sfv7SRyuMU29vQMFpwlQn9HDvQRH9mfV3nQHQ3QjUn79eV3scGMPSvvWeBlvC8j6FGbzxJ
BKydKZO/aueboQHIdsh/UsJm/QXq8r0t0V3C2QWdxxSeMNVnc/znKcp+Tb1Z97NKdQifhz1OklK3
WEm/+gyf+V0zpPuzE3FzjNM5719ys3B2iPNOtx/nod32Vw+BRwq0ZQrfgLy6OBGzs/VuHP8a0Llp
H3o2k3Capl7WpzkViXlYZsHTss9Iln7LWZqJ34kf6mdIyKN7tJH2X5C2KDA5gclsYBAUVVu35/4e
DIl1v4N5EPkqRZeJSksoHT/w0MrxOWnqLjn7qVvCIZrbfrsTwcTsxNk2xF9iVg/1xxZcbl3q4CJ4
IvaxsBDRKAaQ37pbap5svLv4TDTT8g3gjnp6Wajg7TFuh4lXbutX7J2e5qY9Yn46MU9APbNfEp4A
Y1mj7uZf2i0Gqbpup80fGJ2caaoY3ar1YehhcHysAc+GvCbia/O5za3IgPjUmhWujgz72bai12Uz
2sH1RT4mdQz2UEa2s5XKusqBPxpVzo5pUoxy9/obcQJ3UNG4SWBnuOEuuqixpui3yI6H8WLJU8DQ
bh+eZw9h2oFq47+ncfAMeLVmhC8nUBDsCeFS86fGEuZlL9tUlUx5On0JM/iMMDhSCpZnBRn2vTt7
B5Xs5wA+HQjx7ez4hv1+1x4k+d7hmPYFKt6r/eWXldB3IDgMDgQwt4X4KHGVy4vUbjEHQBzR6TyM
PlW0gPZzpCcpEjEALdwQGYomcfn+4DfgQWWxgSwl7uI6IEaEkq1tz3YKU1TspuuiT4wOJq3ajC1R
ZeM1ERUP+96/m3gn/d3qdi9Oi5qiugLAtQ6PBPCu1zgBbvoTqshpGIpOSieOcI1v3P0FeK6eA+pK
+TEbOpx3rq7pjDnvrN0eVRP3QzntJnFlpg2PoFswtu481HO7TT66eFAQY4yZc6/dFvP0bkLLuH+e
4HTXgfIdMgB04CtezN6I5JwQYd0LtXM0/ki7LZePTBKLb2xslWx/E5nv+BIULNvsYWrybj3il239
gaohs29sWNv63jZdT84Q0TL5tJgUzK0DtiMJdvkSkfrPDqtkeJrbtqd3duqaBrPNUGDhG8nho3Tf
9i7oO90rgpnhFDPE8cFqUA+L1YUx/YS/mb+vSeu27xKm8dCki7SdsnKG/WJTRtif6nKr9fapT5kj
d7nQ0LrQccSwqlpNHpVBLy7DWT35DQKSlSclGgp5+4rbpfRl86Hp7qIxBfa26OohWj4rtU/jPUZ3
2x1R0bhvv3Bq2HGAR2ocJx8unRoSl6Sd+f60xyJTFjvxHupz3uPVw2iWATj26LEhzy+gX1hzjl0r
3N3mmKCXk3tr4QnQ4DFaWziBVR7Dr67ZgcGdOx/CByI2KQqAzHJ25JnC/lYMxPfmJXZJPv8AiF5n
fSHdutFzAGF7e87w9bdfe7sBQYMfSab6ZUA5zH/MBzzE+z3tzVaNZKHuDud/pBs83FStB79z7hsE
T27a8TJNsx5XP0TqjSfBqdcVz2y9n3vMD770a9d2gJmDF/510zyl31TKQ64KOITFo8aTIrL5PcIz
NX6Fa30mfkxwXhm+z3IeUuRXMEQkperTnt8p0MED4rcWcOupmKMl4CiUG44PRHuwjGURXXllYdIw
BYyN8ugnXOVDVsY41PvzvszDZ77g+z4MsZes7LYd/RfFx+wLTTEXUZKQ132JXDTjhxAmvpxSySlb
C7LFan7W7dxCcpzAvvOoRS+nJ6K0j2TBoMD60U+z24406bL1JRljA/9d9FnF5ywffXtcJUg5r3Pa
kq+5BeWlslmNUkDeRY49h1HX/Bib3qcv6D+R8aMcuN0fkn6cJ2yYGdYGxuIxqJafBpiomqdaSaG3
Ms+y5jVg8iUqN9ap9aPd/QxBNHSvqS9hY1gPJRdJp18GixpT0apGzgcSoKuVR0jUkkNek3GsTFyn
eBNdK5OnbNGthMe3vQQ/OaZ926YU+UrTSi1znCzFsG/hS59LuCYVu4Jq8bOGuI28N5ZNj2ZcEHGV
bdNHZdLDFS6U2N3XgntG3Jd0ge3BXcO8xnnPtxhhOoGAV7sLvDly5w63EH9YptHxMqVsrobQLuNp
2LDUv9HY+PWY8kEmIJMYWJ4lWUfyikjMkRaWJPtR4DDyrjC07u3zgtEpMZaKKS4fB1uHlzxcAKi7
2cmDzfMhPuQg2Gw4RhFyVGbPsO17uUbNeWAjdZ8XWSfrx9EsSYlGw5x+D7L2a1n7NrtDuEYPYYCK
ZkLXrTBb3961TsNYI4OuGoctKOm7E7qYAENilTNxetcgHvjiFScPDayUVMFEP1sA0FPWwLNVg20/
ZT27z30TfmdQ//RPKZaOOu293cXTHKXmNfaweEUKRNxjw/J0R+yUZOZ1jcCt3x3I8gwy8ic0RSDW
BryUwI0cMuSnYPL0bfJRcxjSng2FUpt7WAcpXhoPB/1qwGdc0m3xZdrW3V2WZeJxYU24b5JNfg/N
2n8SRJqyi9kHSY16o70YRdHE2mLsZJHDMBdb3AlviwbRbjgG0OPCHVvT5p0lm753fchFhc+ZlWpf
9u04mp7eB4wvZm8+yvmnRnpMLVSpG3l0Vyu+elnU+HJzyORDG//uXB3cG6WMhWLt1JZjlDNZfai6
ix/AWYZth21KbpKgQdadZ5sij+nI1FcNW5Pofk0yqLEhK/XxvWmTWjzbaLPuCHp8iN93JlNWipCt
7mHJNG2+I3JV84G6NErvdKe77LHfwLUvlgZ4+8In2uTvZJE6fpnJQvQBNg1hhCWBZe15ilYhv0Ut
WMJ9SUNHuyq2feuKhXYIRYVbeFcaiRjFFzWJCJFFoGHpfm05JfPjuk3r/hNQKo9wqHU5xdctsbao
LnoIhvoDXHTq9GRy2fUftgS5/2EaM6KOjmPfqZDRNPw8X8bvDjNXKXmBqKanD5ifJUmViI2KcwLZ
1PZXB32Aelmsy3VcBtGs7b2dLYlZAUORHD3GvU9l+IDUmKfIgjGyuT9YKy32hXbkPnnSCkvy04Bk
1X8b6CDO2YQ+E7HK82+JJUP0XaFLiTR5myggiChCtyW+DgRLRb2s2N2tWbZqVY3JvzBo+t177rG3
f7V2FmlfUT5HOK/qkUbrJ+b3fmuKKE05KZyrjSpFTWT6bPd8C39lkPvL36aDmu2Q9yAJfgyy3QQM
B+hkXvMFt7cdxhXurifRRen0yrDKsCPGxMw5tqd24ygWtiNkzXc9iVt/R4Z2iFWV7QYhQCEZYw1s
4CfkH4j4AHgPq77EIsC4OP+hd8Y0/iSGZjDv0kbTepz6yImztWKheGO78KaaU7mt3wdBoUVi7SDs
d+eHeT3qJlZRKYYleejmpmbljG6yewx9nzV4JbyDGNCiyl4avc4ISmcGO5n3ZYdLLgTSc/04Nel8
8vWWf5xJGhyiA7rv+iVIKQsDXGcBUVizEPDF8n46Bp/TUDYgnC7nnVgkaK1YeGGdnyJduMV5+4En
nrd/rUCb5Id9iOO2Yv5yrhaNBWPirkaY/djBmgtfHUkUua97IFMfdBOmLwKUeVMR57JEFnGHuYF3
K/c+QpQa4ui07fiuT4gDEn7vcAT0P7wn3QkpQCK+TbA4521JRRN3H/VK2xaW0Ili3VLgI6OkzLGr
BmRzEYRzO2+T7jnvfbyXBgv+bUioOsi6YyOWWr3cTzEqGE+oVxD6mo8bG+79asRPVGK+IvRwKQNS
hWEEfAIjJv04pk39HX4WfVc1Cpti15vhybkYkdkOgxF/ljxvS70HAEcw/x/fddwQ+TQ7YuWTqRf7
sGg99T84TCf+RPNgbbUtEV5jtvH3YckuzZ0hx9m+Zf6dIZZwVbPPiNUx1+S2QnqujhArC1b02jeI
DdCqXAG7yzfUa7ETWtR3XP/sIUcAgTG/VHog/DbvA4KxIqWYQD+jlC7sI5nzOXolHEN8GAriY7Oe
V9Y0TuKlLCG2UHTXfXfYYpL3/NDnrPvQzGDDHxLIHOa/tjUd1jJqUbn6Dq8GAGoNzW12GNs0pPg0
u/ST6ZCPnMLY2yLtsYHqYl0MKHZNurS/cqps+k780q5lUDZBtsMzuW5Fv+Yy+tZ1Sf0zv4Qmd/kG
lflbYPqPG6TLEO6KOUEwq7JhuRNgguSlYEb9mSiWbJED2VECCxJnBymy/F/Fv4HseAghP8Dfss6Q
ygCqftxS7vlX3UQC+uNO1KgMRkLBGclqWBRUCEqUv6dsmn5JuZEE+1zW9uM7nNpEX6am9eSud1n4
jdS52R+MTOs/qpW7oOB/hzV9VK3P5reojhn9kwCZQX8jtWxRGekb+igmM2DviNtQpk0y+1cjaq4h
NUJvKWtYE792EWOoZiP0iB+oh6HoUayGpdXm9pgcVrbatZBq2T7BEznJvmgj1g9RlNkvec2TNwxQ
uP001VCL3EUTEuNNqm09sCyHoe/er/oLnvnwMCYDxtpYzyyBx0k2nadWiLmkelS+0FE9fIVSdytm
CpWP1plnD2bT0StnfntiYm/z41TDeuEgadhOM7ASp0TL+JwBk4w9byT2vRUNDS+6maAeXlf4/RR0
Xmr3yS+weP0OAxEkZzb4rP2K0jDhBVsDnkPq+x7bgiAJmRBxcOiP89i9tRtDkEhQSmgaRBk9jWAP
y/eoMhiDpweaN6ibeODVwSnhZu9OqY71O+zX++Fjmk8QgW8gMHzscCMF6dZELyW27eB8YVAbIy96
aHlWEo3beZum2k/Hfq77tkwzrv3Py6zreRqlUg8b57vE3xgi+3FIMi9fSMM9ArbQkWOe62i6wwgl
9x9Qih4P2CbG8Wgo7W2VtqtMMC4HMOxh8jE2Efhj3ONdoBxRazpppNseQ8trCO6jjdp+LUe6JPI+
ila1n2A/tv+OKLBJhQQa8qHZpw3Lp87xOAYfHwaRLeU8O39PpgQBZ9uND0G39COml2coBODviDoH
jBpIxuuv0Y5x8mMOhUx4Q51pW3EQ2Tj57XLTpBwMnGFHecDKRY/nER2K7nu7z1aVeFMQvOdDi8gc
O6ZcVdnOtYZ/OcyLxBMs0nJeCs/0ct6mbM5PHFhuoFHrleVdEVHYHh69IJdFGPVr04CuOCNjwuYz
VP1uhT87iDJEkU6bk1jG6Hf9WXB21mdtXNxUKxy1Y0xiqjRL3qcMEVq1emHakmcrg9bHsTC8dww2
NVUMv/nuq0RBIyvUuLTtW7zt2D2aKGLJPeOJoqUSqUyrCdWwtZzGFaWtAiKoral6qNDil0zPJv8A
IEi3FgEu0PqwhJpORUj3DBGM0In7FRlQFQoKqYf4AJbNyk9t0J7/YvhR/otFgMoeqU0kLzPJh/RV
Nj6GabJGUtB2VqmPAQL+4Zj2NlahoBDbryhgtuPeIFF3KDngo94QFAKbXs9gXQtbP7VT3O3nJIu3
8Ulo1GkLpomHX7puzZ+Ykq59Tvd6xHBPHQ/j3ZKvUfoKgR1nWFOG7B79nzHoI/iN3hwxLqZVia4K
XX6OXtkIgMTd5edIopzyNZbq8oYYEp8qMUL3UC0iAVPPC+qHQwl9hbNLAS+WJH2IWUqRXFIXjXcd
5izWnz4NwlY1Y7U7eezXvjJU6+EgCcnnKgWRxg3FbFRoj8gGpXioM9ivYfhSXvBgoKVNVd92Yruv
XczzEjqRRtAKTgwxFlRXK/Sz0Qqdmnu2bmRHzOJ0dociwYRu/YzYrkAdNhkKKAv3vprxGchjti3J
/Id3dJARcockcwS8W5iY/KUHJaHnGtAhczhMFeLErIykESeW6jRs5yHJSf4Oz2jlHj1S+03jh3dZ
nyEG2cj0Qnknty8Rfo2IijZxZFqOFzdrJKRrvq/Z83LJoB/qaBo2BF+Yl4XBVKib5iWoxCJZMQth
WODZgJoVL9FrochWY6vE+KsLyK4xIBe4iv8Yt0YzggFOkTBNDnLbFbSaydxbMS35C8Xm0SBUzPv9
99CiG/G97/00HLMmGyOPp6vJCBYzM92HDOE+1nIqeEaPGqHR/KfVGfV54RIBt2bPsyX/nKA+1wH/
gvq/+ylMtgzvOlqm6HVq0PD5sF4SVTgWhFymJV9n+BpDNqeNPLcKfS98JJkmR8OR+LADOIrL/AAF
YEN9uaOHNCHT7QzveBVT5vIHr9FJekR0nbNHhEWZ/TTKfjD3vCF+OkcLWOnfSRzXcckuMdtxmVS0
FJKnPnqcYrhTfYgWu3TY42BDXwpExuMhLCo3z511ELooGvP18y4xF1jmsUWTpyNyhMWMaSL3K2dW
15+Jt9j8R/AN+nW/j3bguxGywtdQnr1uSEA8BcR1mfDNLXdhGgW5M6iy+5Mc2B6/o6pI6X03oBNY
6lhhAOAA4Wls8grf5o7a1qWiFh1nk6ZLSZjqowJr7olpGzL0GinsMY5xgtHq+dhFCfo9bESLJxQS
iLW8CPOmaWVaTrM7ty1iv9PZFsUjLN1SvwjU9Bqw0qZFJP0jTYy179TCVf0Pb7JFPSKw7fhR0nYR
n7xHa6aSTd43UCdiIO21G0fJHupGjsMnn+PBPIQ0H+x9vACp87TiXlMQzcNOX/uFq+Z+640Y3pDo
dfVaxgui5bnqp1yhbJ3Bo62LywWLWUclvD9Y0BX6gDwXxwHjgBcLY/4NDoaxTUohYICpDgqtILuc
EYAZPFjHe21ecU6PKDxjGAetNMRuInwieOwQVwnaDvsbuif1dlyxko9i3/kjkmgWPaRRLRDYsRju
demljZenp7hnTJ+Gns/0cZcTJLpJGib3zXeLgGnFsMA65OgavYW2SDyjHD3OFENX8WzztWQobNjv
aoVl/esE2wWbHi9WrwlqGhsF3D03u1j7UijvhyoocyHKOcueqamz8ZxBXO7v5lEvpGrWoMfH1MKn
BiXSGP3WKRi+HDsU8ZMiskkSHdGjdF0l80Yg7dSz1YiQiOrIj42DIv9Q702/fYQlQ+ZQe29rs/8m
IyXNTz1MsTzHBFLHc4yq7/wEeblxnyUsqRHbjDTbHpMssuGvMNNeP4bQRBYFvi3Ny10gHClQX17Q
W+msxbDf7LKnJVbWly4AHHo2uIW+WvY0HUrMxjP0zLPsMqO65keB8eBnuYIM/Bb7obFPxu3JeM+B
vdsvb5vX0DoIF0CGtzzrf6LMF5Gqp3mkLcxakc+UdsTXrg6IrAcckNhIL2m+N9q/iMispAxRlBgs
lnw2kEtoenmCQqNchUjCUPFi+Soj6NI73v1eLufjb75AZw97A9qc50mEpIix38lPxJjUYe01VM2u
0LmF0B8lJoCieBt3cUVSGmG8hjRz/Zy23PkjtlF4Ia5y7NY/rt/09jjtXNEvZltYhuRl7pf7EPi+
fcm50uvLxcOR3Fm11IWC2c1cIBptLsVyva04c9HAfM1DEPzetlAaPKNRouDBgNh4R2lrHlC1ogBX
ZtT9gHB1zgsIi1J/2JgeULUzc/sRYxIJIqIVUOaPPSYbcS6CsQHvRrHmtXjnOhYY1x5j9LPW01ib
eXJFB71fVkw55ghIid63Wf6gkNSgeIuCTex+oFqxd1HBHMLXvqDYZR1qiHKC2qOAST3yzuMGeSjg
QOOWsfYbFNZhMcXiAbGZT2p1tOtLP8M/HHFozDaaVIa0GOWo/ssaB3veiOYndKqIK2NMBNkiyt1c
lzBKJm8E/zt6WH3b6LNoL7XfBun3pi97Zla/TKk1B1QL9gWTylEdnf+rXrZ4CzaTdzDq3rYqZv20
FHto6QsaVuNSsRri79smmK7hcyxko5pGKw+x+Npnn9l624T6v1Qq/1MZKcn635ydV3PcSLqm/8pE
32MWNgGcODMRC1OFcmTRitINgpIo+IS3v36f6p49Z1p7emajQ33REskyLCDzy9dC1/C4RvboAFpk
1p+00PxcOleT1ujGmW3v2CZVQCR3Ui89q3X/bzy8fxBYBWXwe3UkUJg+oEiDmVC4/9q0zoZTNSs1
GYh91wA46VNOLYDttvp16YFuOWDliurXysLn9K8lVDdV0f+kNvpJWJZA0SyZ0tm7mjbTMshwhlwQ
D7Y+8xr0I1yc82+SBv5ITPWTzqxrey41NMU7AgFa+2lY63gMmoQ5N5jZmUgnJZGkZCpdVvlvfsN/
ILL8OZ0oRx/GbqJbO+HQyTEQOxO2YM3/5g390aP/pD5raPTr7dS1UI5UX4tOe52dJv5z4lP1J3ko
Y3pbNUls7VZqP7y0Ww/ZWBp/8sF/UpgNmjbIehTWDgw6hEjNvFgDefzXF9Qf/VZ+kofGy5QNlpuJ
XaIqPXv6FHtayu7/5x799qz/dLfrRWOgDuL3om8V2byDS8vkVj/96wf/gytUNX7/4KLTqrlZci6X
1Hb17z2Y0uyrYtXpFXL0qvGaETV2hFPIav5UPZ/xc55N6iSzTYyQtaMO1fpktl1/l2vAq//6Df26
uP4Pd/fPaTZ2vhrAQom5qxw3BYF25TpDrvDnY9UG8WoyefMv0tSk2GdN/pxv2bPGlWZFcZ+NKWeV
JA1pZ/y+TAbVzd5gM5L99ur+17flP5KP+vrb6+j//p/8/VvdcNhP0uGnv/79ua747z9vP/Nf3/P7
n/j7/qO+e68++p+/6Xc/w+P+43mD9+H9d38JmcuH9WH86NbHj34sh18fn1d4+87/3y/+5ePXR3le
m4+//fL+vcpkwKGny74Nv/zjS4fvf/tFs2626/9qlL09wT++ensHf/vlf8vvaff+l2v3/v2jT//f
n/x474e//eKYf7UFGiLLtXQNa/zNMzJ/3L5iC74CDiE013Do7blpRyXVpylP7f5VE8KxUWIR/H3L
Cejr8dcv6H8FtuHIz8MJU2ct/L/v/3ef0H9/Yn+RY3WtMzn0POptsf7vC8o2b08BVK65LmXOjvWz
31kQ2jdpxBDsujGZ+6d0dJznzVZkE1i1K+6pE3P6QNE4f0l1qXe4L3I8wPSi/dOv7R+v659fx418
+umV8DI48LhQDIYpDOfXV/pPKwKVLiJTVlcPa/L5XgtnHYFL3PgwJbTeUMLmnom38TbuqSoG8Wvq
MXJKVwm1fLEi/inbKVpR7+sirb5YKWo5mYIwwkdlGS0IsXVVBxQkVP3qAXL98S7NM6jlvLWK0ORk
9JD2zNMZeTEHh8O6r7TKBlialHGodMUcGJa9hjKBJ2cim980AFGOSMKS8AKrexIQZ6vn6shZc75/
9VDkaIcuFst7jfbFH3PzjhODEmG2sUpv6wfjHcV2ebEMHMMexm1ydcmyOy1i8DOgt6+GMWzftaKz
nl0ugj2K2Ok4FHN/zRAU5F6eFhkk01x/xfbRH0YxdfepOWhHtdb0QKAO3QnXHK7gwXFgSn0N1dw4
lnUTMSagN4K1fkGpVLYgQ9hETFarN22MXcSbqv6S0iCxG5mwD7k0Ym+bDP3cpomy41vU/WLHIqjn
tIt6U3XPiWLMh8m5jbhruaPKbQ1oihxPKPAykB4zCZu5bUJ7xDnlj600dqs9W2EMdYC7TAzPVqs2
gZvVRmAnbfqE3tR6szcnZsFi1DVQFUdNb2y8tfa6FevqVUKZL0lV5M8jdQ6f5hluMOd4GemmqXpd
rWdhSw+rb2zd9L2tcicUVSEfTGpJ2COFMl5o3eiOWWKYgQZcikD7YqZt5Ejl5LQpe96iICRV7Xsq
19PVU4tE8zcVNL2SOugtSLtdSHdfkJzr9b24HefXMhKpEsh4K/yeo1sv+iuxMcIrU8489oj9F1Fs
FhkTQTUk2iGTKYrhLcvpF5H9UAMUJYO/SkX5am/tEjqTpCPMQvp3i9qD1VNwmN1EtA288e3/xPeE
k8Qe8C35tEG/01OqTeslMWdo8LTWHlQ4m+tYTcu92iib3wInBfOGqQEY7R49HKR5NW77JhmGh7K0
xL4sze3BHGKY803J/MoAJp04B12LNZP3zL1JaOiZFSJdEQfUyKZvpS2CEKnqPq2jTVRjBH0tpWHw
adotAsYCAaxb/TA4y4Ta7FbPqKDB3TgCBzwGCVJpK6JpwcC1ICY61Nbg7KVM9NCQq0uCWGUnfqW4
btglquMvyNCCLjGyqIPiCotkVReSE2uYOpS/1m40kDWxRAjutZ40HaVZ4MBltVZRzl54XFM79kZj
EfeoFI3HaWEqkP3d0mzb3p1q6+LU5rrPSzkFoOjaJXHSe5dFJtQd814dK79MkbglqhxPk2Zk39a6
S39UyTL6bslQr5GcdV4RTtxvttG+Jaz6EdIHceyIF7/I2RwOm5ysnUKux33Py/Zb2NfHBE3Cu944
2VHkgxUN8zh+68yyfWRlduBS6+6L3o45GFseg+IJHOsN8JcEa09EcXBMy2fW6W4M5jiue2trqzlA
VwSK3jftuKO1et5Zves0d+T5zzLAapVfRuC7IO2UfJcn4Alp7cCXUxad+ho88BDorWpg8hongx4W
YxbBlMWvaI/iexPZ+IbqyK11DwUUn7PL+Qe1muaMDygGROnpat+99m2z+YUWJ/d0c1RHNr/pEhto
XljT1n2/jvI4r1X6udHkNPlO0nFfpxPszGK4BRlRs0x8HRmGcU6bwjreOhPM0GjcjxWleXJopGzD
eRzk0UGS9mbSBBxteY00cyIYCN7XFnsJo7MhFXebH1ldrE0Yb93ww+6d3ounbXirsDFElAney1T5
1C5zH0lF1RDkI892mBo3ryk1t7pxHgP3/2Z+hroQlGmkSf1GTEiJJnPlCdTZPsQzLOxaVfKQ6vFc
Br8ZDjjUl1fE4ZO2r2K0JAeRr5N7biqElh/I8PrxUcsr84lcCmPZDY3SvPfcCu9xrMvXukyVCx4D
mXpxzQYdah3PVrkbuSE5InM2qdh8Tabprahc5bQ61hKfVLptfYEKRPjWAOz4m3eBYDjjCBJtPP5m
YCDLEZw6W8UPbdWtR7ZC4ilnOy/zh6Hv6wMSmexp5Kz3lGr4MgLYX926myq3/ZFUSF/CNLPFJ9ku
xjdUEuthAIPar1SOnsQ6OR9uZRNYHutqHimOZp3j3MTXo7Rz+0TmprjIhd8qySf2ftJa0zN7pRWP
RSzaz5Up2keKu+TTWrVthI9p2iV9wtkPatIRHoT2cjG22IhMK0tCu2d2+dWwPUyz/dqnaunc94RE
5cepeFRAgE4oInvPRHMfqkUdN35OboX6qaYe7fNs5SMG0iYDgKlKitLDrB6tLwIyTt7nECd1OGRy
y70eCWlYakrXezR1aA+aNGqWWyV5SGdrfiu7RnsxlNl4qgetOroa2VG6sdT3cakkL1K4aJ1wk4LC
TjwEs9acw910U1Au2YygXx9Omm2C0buOAs1G8LRGUowv562GoFn0HcSVcuPJ4+mlWzSZB0XeQnUI
WSx3a1HpQ7ghtzC87Qah0ZFSL1GuzWMwJ8kh7uvla2orc1B3a/op0av+YhtJhXIh1XxZmYY/8Qv2
ca9EeoVgR3EXB8Ji2e5HGpmCrnV70g5Q3jCLOftlQT/OolpUMB0ksA/LqYmlYmJVgneO7B7dyrGv
8/TIOIOhSIfP4igSi2cE5SlSzIb9fe/mtnaloGNDu05kUrHVoqdR1uge+amdla/ZHskTDSuVJQNB
W/aJFr41TOs1qQLZd/1bE4vNi3NrRaSlE3aFtpbtyEDj3VqKV2s20aj1ltxP22rtBpNr1Ew75yyw
DXhZ0qFFNr3G/EjVw9LJN+Dxd1KRvNwgENp+66bZ0H0gXBg9dPZfmS/r3aBZDbjlsk6flHRtryV6
rtAo4rIISloK726szrZfAf9xPBfunsASVHWFW95Km8woTxKxt6hmCDikkdCDUDv1HZhtTxurJlxi
VVuv/aLq9bGuNwt1QYW/3EqVzpuMMj9lhVs8T2Ocejo8Cr07tN/kmFWuU0rnb5g39fox6RUEa1LP
+SdncONAKhYqHYTjtuHnEA+NP6MnqMK6cnQU47JX89ijdoSt9lcbEPBv5udZM+NviKskspbZPOC0
anai7eRZwmLf5bPd6sy3xetSp4Z+nJJJCfJZs2MK2OO2jHInl2dHdyAmtM2KeMuzf9MWRrRYaV/H
PjGu5qz3zNX9qj6x2qToYym3b4J0Ie+KVt2wmuLpWNB30xXOzkDJGjL0UFwSy+Q8WxZqmrFU3rc5
vvX6ikE5Onn+TvuCi8rQThVv3fTyY5R2cl+wKrL7DxVuHpBaBE9rvAaFqcoLjUBMb8qkvjZIMq9s
cO2JAg3z5LoKtJOJL8mEZsFpUcc/LETnYaEZ9v1iZToDtD2ih5oRu+N2UF4VsbGGrEscL77bSHVf
NFUf2qXVPm6zMGNvGXTjrotV18/cbXm38Mk8rKziez1RVIBxTBiVJkt/LPuP7sZDo4BpA/tWrCQs
OpAUa9MCS5vv4o6hIJuNk8EnFOZrYSOFUWuMdrYZCjYaOPU2D6ssti94ZtJXbezuWqT7O4jRfl8C
Hy+86204d1ZSnNCk2ywkejlGSPYY3JJUP6imtd4YUZQ4pTyVdfki9OpDiZ37YXJqRFZp4bdLoe6y
VM4HJXPYmcjvrW2794Q2bPdl21bfKAAd72umLyjUOKH1pEgjALz5aGtfC+JZBpRvu8IoAAyXNTIU
M+Ustc3Bmq7VTmNDQkSfrGnu42iIULatfqyTXZIelsw6pqtAQ52cii0Tl8ROtJN0UBkWOR5Jf2us
5tbchNp7qb479CtoXj/Nz8SMMkTLpPaFszbUKBVZAKZVPCQrE23cJebJGUbzwdQq5zipzRQOWo7X
RHHw73G3n8b1ZoYx6k5jBJXq7TK0fHvl0lCWrgyoJoxiFJB7pJ5HnAF79JGB5qR7iFau6dWfpVUG
TB3ZEco+pzUyX06dbqnBKtibvK2ux4NmV9ouV3LYeNOC3amKziS6bonMrI1alRliMyfHt3QB4UZf
8SHeKta/aeKjjpta8dNqRemK/PCUJq37plqNuUfVrX1C3Gz69GCWx2bZxkBTtORSKhaeodmdom3K
9S/w+sYnYW/NIxNwfhhI6XgtZFwfaOVTHrVptB6LrS1YKy3Urabs0nM35OklpS8jVBnavmkEzx4c
rTFyzxzq7wbFXJ5iDuelzU/kQFjBqsZf1YW9z1j9jQhVf8yUZ0gjqMp1El4zu32krKV9WPTRvcxi
dp9wGwyBxGTj1xoD7GRLI0TH7qB8bc5qSgGFltWBULErGSanSLV6zKelYE6Q3TswnBlU+GR8DAHK
oTf0CL2BclSNrAolAdcY34b+aLvFo4VcwnKk8HSzu6v1T626XEbk70RR7fRBfC7S+V7OqhZhiXtC
BLdLFHQrVRfFhXbblkQCAouEhtHwU5e4b1XlYjLN3juADb/sKM1JHAlhtYxV5OKy8thm5JlMVJ3r
uKsPrlOcHCut8MaY20l0JHvbllNGVeHszbWo/QJtSBSr8mbSKpM97TNPqgHu66xy8imBXoINQUTB
xVGLg2pxuALoLL4Zel4jIbBh6rNZiiAfWSMxmkVpnRuBNZTqHudhvKsLOz4tJeJQJIF95OIHjT3Z
5vY5Syi1cRY72GCAD8R7lvvMPmhjeqJwMsJ3TqyFllkvTWMPZ5US5pcsN3HBdNPgkmFCUOK+qCqg
3iJendF38tHabX3WvCqzWwaOwRFlE+DM1eY2J2Q90xOq/GthqehCLL4fvQQU6HGo2g+54OKrilWp
vMRRkTTQo602TtAC++6AmJpD7mBZao2lCOisXS+bjkhV2Lr6zeD9Ibwfi8G34e3eRsVpDxOCoOsy
SmsX4yyD/3O9nra0cGoXdSemwR+NWGXNq98MoaiPE5YJTjiLuz5UKh5UoppEtxssaPWZuhtvnlV+
9fD6CEBmN5wVXHgeHMO5gr0LRCPms0368nky6kuSEVCzaR94JFPwb/vouk+LWsDeGFeSrg/VkH2d
k/FjTTpheGpTM4jr7VJ6lkjaqNe6ese2qZCiVS5BritqWCvVfDcWE+4uW8kidq4IsW+k2T3kzBTM
qoO50a0ix6m5oewqZLf9ELN+p0jL3ff2FlmKdrKwYHrMWrt2mj6P+px0PkHBxaFlO3jqNHW9M+L0
82jo6Ilr5dXIXOu+ypfhnYTKJuLrniwYW2wOEAej5TTGiKI8La5xqQ1SFfNF9e26EedWx2GYW/ob
C3iCRKG1Xg2j0gIF8VngrNprZQvcEMLp/A0/JjM0yu7CR6rwMaq97k1szZ5r4/kpKFX11kr8KGz8
yGl2qIrFT+fqucXu4xUobLJ2gptjA99RvopRytiXcn1TGsfk7lGKMJtjBHUlWrMnDtn9rjSzSx5j
3Ha14Tp3JaMeerJr2hsvOfy5by8GQrBSZV4kMHxna/qIoj/bLUSw+maml0B5mnm3LIRuO+Ukg6LL
48CSIsTMGxKfXXe+pU1Hszgrrnpq5izjdpRPSMW9cZLH2O3dKOvHO7G5Sxf04+gGY61Vz0lbL2+u
HI7oBMk448DhVc0SibZc9gQd6jIsl7U+ZMjRdgrBAAdFS/Wo6LXp2m5T8iUptM7nDn3nyP9sdKU/
X/XGQwv23QbnekbvUB80Rt9DCjIUymU6K/jtPIkrYacuthOZeplzNhnvkwq4ZRzr5tXQcjy7+Tom
XqY4Rqg1WGDlMCHlb9bmrNsgZhwbYii2TTzhV8x8yruXS72ZC1imLtqDEPkYdMqSBdJdSN2spOeS
ScIHpSZYZOMstLHDuV7bGNnLZC3mHddZSL/9mS6B/ox2d/PqXAX1OmDHcEJ+tscgYSoHnZNiWBvq
GvCc9rdmiymZd+cnN86fKr1O93ZNwRmSvuJVkSDfrdVdR6R1Xp6pWVigwEY2qhCWxD7PnIxyNk9N
ZABl84hIbfI25oR1s02kF0orD1tTNH47z5+tGi33yip+EFliXkpVL1C8pAoQcVk0rQd8w7Q8L4Zz
tqkSQO1H5oAdWDnfh9tsClJJ5iI3xXcbqAtd20r8mciXh7xPWi0obni4q9qIGPHTFbqefMLXWpx7
B3OlNBAMhH2Wx6hN45u3Ml6XfD+jJvuCfW7YD4VBvjGTJgNVMQaVyY6cEQeTex2ZXArrworHzbXs
KTlPYj1h5VBeMb8h1GtuVtVe0bRn17JoK0EXVZATUFf5mWiI5GTHjRbRDaIiEk4kV6esttRbVmHf
2YbIEFX1bcSPGKGqZwNRBob+mrmldYDJan/0acPoGJv9ee44MEnFUB90aSX3iqiNfZuSboy1gwGI
wDmNOOuRnXdqKuusTkPQMfwZmqtjfQWlOLvdrfyh0pMjYbH6Mwu/vB+Fke6npB0kShmqN5HZGC1i
jookhpJAdPQYbcPWZ2/+arYTMFs7goTVq56+O4L1AmXCXLzomnMZcZsCZs7ymre18LXF/Ihd1fiq
GlqdIuo04u9xmVXPjCGfc9dC4Fl0D/rYP+tuMdHRCeA1ooUiEKZBCGb3p2VRuVwtgC9HyClalE2+
N1ZmRw5+VB8eWQ2nGoVwAjwYJGuxXdVxWnx4BBIRKJMFNsOVyq1lAtAJ/LYVmSp1ljd3TmFgdGsX
m6rU4WVaU7RFekfhOgoBzEBYB3VL3G1DkqHD7dsvJukPBPjH9rw3rNFs/dE0Uq+xONgk8TMmdvfg
uLdxh9wS4YynBbE3C96SH1fd/pEx/hNQUg1BAQTFSoBt1p/GW8JEiYnJ77diCcZBk2exxdfR3q4i
Ee5DigPSp2+12dWD/k2mDhejlRmXpWI27vKbG5F4nvebR4MkE/eLi1s3Ek2KLclyTIxGxGigQGwU
KKIyP+DP0CJ2XY7G+jFjanrJS826Q6jWRrjnkuO4OErEwQ41UVc+DJlQvAViame3w1ljUO+dYSKA
H1QynPStPxDhqdxN63KznJjPKSm1gSwq6JUOjVCqiCkYkSiukmAS3Jr+oBn3ytaqZ81WN8+JSVfV
nIRDcVG4IEOiOA1yedT0jpuzkzbWz1k76rH7hGLDPKVSPqncRJ5qzbeECjdECf5cl/ndiv/BTwWm
rAUPjuZthWbbPvklaiRkN+x0JhzWQqBRMxzciTV5tgtSNCjkTEEBOpOLeSbhRBMsyJrb4SxxFfG9
tmxQS+wPPoPFxsdr9YeayzBYb2ElHKmLZodeNr8MaR9fu23bjitBpBfHHUq/aPIXKxEPos/d3Yg3
WeTaqUS+6oB2702rZxRcjQeXueiU4VUi5T7Iqu51HfM3a6oBWvGc+G1tI1F+iPspDTYIlqfOMipf
V+ry0VDr7tT2NTr3RKSvFvbMqMDnGpAfUGMbdfAIaXbQpo0ZUoyt7KsB3+X4sMA1XZI5zY8599p7
tcRZ7Jd2w9g9YFjF/8QdkEjrrI06vFhrVrhdm+GYIG8MFq07aIL11DMtvBTYYpkGM6YFL7dXtpOq
jBGbWqYK5CjoWmsrl4/RqfRXtU3N2wCEUtBZSvmV8J+B+wcN+5kHzY/Ykl4GB4iqVPRdzfp2cdcy
t30F8/i3jXqykP1wfsjmbTokjSxSz0X3/0YWo/LMuZ8AGC7l10WWk7+AsadBMab9PetC3/KuzfKL
WNzpG3o9znWABu4EKVQUFr5EaWUF6K05vlpDn91PysJtvBZ8CHBMc3oXI0VevW3IGDPLxnCfS030
h3SpN5arTp0+z6ptvYzEymPjtMGpZGLVEiTTNPHd1Xp5nyBkROJULi4e4uSWW2wjDm98U7ezl7Gc
uwN0FGOcHPVsx4najGxSFDdP1A1GXRvbPBa/eXrLbfktrXBqDOvwjWO5QuxPhlFVbfVvJQMfhNsG
YOUpOZBIP6rOadKHjJWi5k+AY6O/rKJOGSlV643kB+4lvqz2F8UQ/VcskRm6VtpGds04Wd9zBvId
2nRxcOJEXGBZl7uxQ5NtUaN36MQ87JqstB5GYbKipXbChdLafHpjKoxIUeIO/gkzE5kL7g3pkh6j
4vTBb4e6lIEWFVvLs0hdukexmNCQeKapVDItxc/jvLwMilieQNbSHZlQWKInVyXxuK0GDweTyLj9
8ikJbKINAluLra81LvopNEu1PfbEB73og6sFOqhshNfNuC9npeh9O3ZmqGjd8I1WMFWaNDVi02Hj
W7IdjOKe8lUigjbnXaYYbh2sPlcufGKdFXc81Hqt36tT+u7SBCW9jJkWgeP02STdw+/NpA0Lc7vi
XkPs1VQuelkkiTHmN18M1Ra061uTkemttp6h13cwgjU/32ovSdMG01p0GEyd7RW3iRqQmNSFYz7O
wbJotheX3REVL6cOe+siToHprjeU+HFsMAXYo/iyxEO6hrl0WmSIU3fJHcAvoj7tR7OIydXKkfcS
Yp1uuzTN44dZztluWJTlM3WLH0RqWX7hxua97LrqlU4aVsSCjAjbdbOHEVvOfiJip/I7tyWkCRZF
bCQqxu4pA5bk1FHk+XM6qsOjrUP4hDr1jZNf6Wp2styVkSBxTC1IDPZkq7D9eDOWp2UttIiMqWlv
Li4HNCSoMIiES9RQp8Zkh7ed2ubgEdpuhVYeQYCH6k19Xcam85axX0FTpvJGzGpBTiBXiM35mZMZ
U8pgdnunboxLPudkYq5lFqyF/gX+LT4xiOTnkmnSr1oONGtWiRPGE9xVeV6GK9zfpcxT65OtbCHB
J/Muz4w16ofBjoqm6U7NpmU79ODqY4qKkZAu9kFvaGaypJha2v0g5/gpnRZxB1zJW8khBe1Wmieo
ae3KbxUZvzDX5qLFo+XDrsnFQy6sI6NoaCAi+8P+sa6SHjPYF86AsG7LkdyUjMiGjasHLPU52czx
3hibq5JsgQTNu7QkfRywEeWuh7ewPiUEdqleq2LmDaBVyJNqCHx1t/pHOwuauWYBpUL81vi9RDqw
G5Qyjoyk5PnqvtH3GoPCCZF0VFI8+V4Q4aCFRDnOtpdYMnvl8/2y6i3FyoAIbF3w6h7GV45tSxyI
vH9TCe3Yp2aGsRDjmtV5JjAd4A78nRqYpoErYzNGEc6FgFLstOlEwpfwnVaOn4fVWK/5yv7YtHbu
DUjcSTStT7a0+t5rhMVmA2fO/N+uafY4oPgGLs6x6hkJK/RQq1e4BhTzXL8VJjattIrv9HBlz73b
2d9h4NyzNWrHbMyNxuO8jd/f0edOshZqJeY/pX5TIGTva63tbrEuGleFpgRqYTRfZpc8CQ/TGhb0
Bbfwib0g/QYGyslDb437RMeIiTAIy6gjq3uI/wX/pCTNoV9M9ZRUCMiJpIBgUqwW6ZbyOcZt+MXF
FiR8UU/qCfSZ3WbKrfxbDFjJMQGL5d6YtTxCs4MvtR7bTwBDn7N0+zovtK3no+heDB0DStZayOnZ
TrM33KXbp2ElM4tVSF2juWNO56zRc5pSS9QBnFmCxM0m4vcW+eCs1ebH0hH3tO7aod6Uc4TVb9p8
kL6B4NekNum4wpaTzLhCKbSaB3JuEG7+esApgCV2m909wHhpXpfVGihG0i+RoxB7sqWKs1faRX+4
lUOdbQXmdWA9ekTkofgbSH/A0L5cSysxI32gASYdpPHSFkOB1gHVCmyPiphDMad9P97wcaXotLtc
n8Gd1K5yILywZc1dEdSZhZjITtgJMrkCtE8ZkYHaTKARbpmzSnSbP0gdkY/csG5h8LPzQLQC67/d
/8i1jMCpOm5HJPnIGbqi3ELd0J5tsH0/UzX8XqymIfxudVZK/WpNctvdAhY83drsO2wr5CVmy/J1
Ksmh9npndh5MyO+OI9Lm3qmZVj1C0rpPumIuVwhs8VV3UnlSVgGvJtXpmHfkOPlJUuJAqFPnyaT1
6oAo/q0Hh75lBXbbxciWYoeSptuzlaJ3wQB2P+rVI+K94rwwc0U5npnAnJ3XtupS4trajFHSWfKX
Fr3OdSbFZ/HU0cxfl3aDI1CcDXFTNhESZmwXbP/Sl0U83WwW9qFPi31azenRqgjEwlbqHHPLumvi
gog+o3IiWa/yAJYx+VvWVNwRy3zEnrA9bHkHvtnZdkXM4Kq+xcR7XrgljE+KMB6dLn5xl2a+pl0i
AzvmFFd0fRKQwpUG1ZI/pPCEGWqoyHRs7h/XXU9r3oC8lou8K+qp82VXHAzG2QeJvS6aOUSd3bUi
24rDk3FpbLeOwP2+OX3zbKrrKUkgjBzFOsq2grRRKbeP8nhR31LsRru+rNy9ZZrVizbaLFwDnPRB
5vKo1WI8gQmgCTGtJcg0vX0tsY9fHPSylLbpWDA6iGri6ARRQOiVWr/FFblL2iSPdCVD1lGTtFSp
LcbKYgAAWMZVV70mgZdNTbV8YJkmGwRKfgnZOeodnKR6GvXpo+k0sJ4+QbWazUB7JVTkHeuW5aP/
Wo/oCfAhusnyPA3JcufIeI7c0dkekViW4ZbFQFKuJh9bhotH8tD1MEmr5vNaTjlJHOMynZZKJUjG
1ZwfYjHi16kvMLpuHEpBpOO24M7fiJSi+OKTzMo1aLIa1CCtlaCQehFaGNIOObFphyq19QctE9md
IXuA8o12Xuy+xnAFG0i/lTN8svd/yDuT5ciRLMv+UCNEASimZds80YykkU7SNxDS6cQ8K6AAvr6O
MVJSIqOrs6REatPSm8hFpHu4g2ZQfffde25Sl0SpESKxO5jucXI7+WpmeuR9NneohqNz7OeJupMp
G3N8Wwn7BEcGv5owkOQ8zegXIiF3iPQmRdlN+pAwhBcMAr1z8NXrTQp6ESGurAUkQvU2h671A3Uj
ecOfNl/QNux1FIQGfNwg/R0b0nycgB/tdVjlT2EaxmvWAoz3kJ8WdlB7V0eYYhv3jbOENhk/DhHr
82Ut+/yg6Pv+Ik09XEuOVxYzU3hpgsZx8E7kxa5QqVwbIAwPfWHbG4pU2Sp0finu83zSb8gs7h0r
q3ztVwBG+MjL7sLGQF6LngHcqKbsmlXGR9q1YNVbzk+AQgeonR3rHKe9RM1ovjswSdZMzjgwykoJ
zsTEwBgE3UQ1ICi7jOgg8szwSPKNC6Cl+3aV01SymVuEjDoN9LIOLPPLSv3wiEMHPjbJzZa5Nuzj
e5fLAdHjMTwUFd9D3Ta0sY+M+ozOqAVso6xHXXXhYxoE1TrCCPBUhsmV05U7j8MszfFL8rHwPHZp
cXbssnx8dnU87yZFlkAaOW5ri2vtijty9hKk9YQYbYTx6yBBby4oM9fIDujbJLbYCxkgazeesOWx
s9z5vawTd+vHbO86VUC7ZORcEjXluGLXd0UNgzrmeDd33017r0XffWGumZZ0FjvXmUTlfpj6nJza
1BGjToJDnWkXTYNNDF/VZqEkBnkonR66wuQagDKRzflYssEuxjNBgIdiNhXOODVs+iD0N7jJuHNG
ibEtWd1cuwF0UTR0zk5IIKXLDkyiw1A5+V8zXCVOirl8znCTcxfs7E2Su3AW6Ns8t2nfXmTYZYeY
CCkjPEbBReZJn0du/uaFY9wNNKWptQuo01g4ec476H/hFUvTG3JnEw/aMZe5X/12mipcj06Yv+Vq
ilihYBl+dnP2HzQ8DPdDGaYAZbrhTCpc4EQqMcNmA0yyWKbln5jk/4+N8PQLW39xdP8fRvhFEr+3
f/W///kL/uF/9/+wBRhJwYrt2wBP2ONP/7tv/8Hw7VkujnaHPpW/+N8t7w/HEqx3TORa1wLc908H
vCX/4FcAGSHc7Nie+d+zwPvfvVh/9cBbwvdt1tLS4e3Kb8nf9K9ZlIZexA6Xqr2tQ1M+pZGcV/0U
lwcQF92KFVO/HahJjbNiRHDz/bfEK4oTS4WeLw7/kNsSwyAsApm9pHGc4LKc3TszKAFLk8qKWSfC
SuE4aF33xZo1d1ZNtvgUZmxfF5liZZAFk7uNWLq9BHhuv+bKUy8x4Al0J9tSF9czxnvOb3AgnTCW
siHCzibPOowtOJ6+081RdmV1mMyOqwOroX0EQ2RcmZZxu3zMljzWqkuPaR7Y3YJxt3zKknAW+yyR
xlGk/IeWjkwHhjJ3cOH2FuHzWKXkGB3DObpBNfwkbsU4mxrAU5aNNyU/YCiJ59CZNHKfHfF72xVb
PXxKLHGjfLY+gygEqgTJujq0HeAG/P2AjOEkykVKKv0kihTSSFsF3LIqrwCF59rtg1GDAUUWT6YH
4K/pZoA6eFf6MhswYfdxRvjSKTjm1dR/oakZj6CtQphASajfaxOCLzos4woGl6k5x+PNlN8Iv6g3
oSeZOaIYs0c3T9Pe5RhHfGKlx4Kb+w+GFGjLvVedQBE7+9Q0GTYLCaCjYMzcWb2DTDvaX7G6OV7d
mHUI/mbZ7lIj4wJdBaLHoKwEP924D6xsQbo9+QmSM2PIh6Y8KVFvOs/kmK2Etxlsu/2cVJ4kPI2w
3/b4PX7VmanfTDW4B8aA6OjEXfWAUcV61hgt7iBzpQ7vZ+EZG6cWqbEe2ROy3JTMHksvdZ0DN+xp
h3AVcPqX9ZpsA6sEOmqLwzSUHkD4FJ6PUuJhdmrvaKeGXpsuhkcU7vyJrl91lYKu+B3t4uIhmQ0c
XD7uFOiSDqqFwMd4qTFHJgsv89Wd0/r2yWlYuArTsKAXh7hX+m62ikWpeaQk9ZGjTCPg5hL12l5k
wTCeQmImhZjDn0FbZgcjk/LN4+J89Iwp30VWa/GYKjM4c8upxMLxSsy60LycalmSjMbpHaQc6G7F
rnpjghksF3432/sODyP3GLez1sk0tI9GxbrSn9K10ImxcurmZ43plkhJVaxQzowfjWxHFJ7qIMbe
2Hh9WK2cSV5UhqxOlGdTBAi2YStfwjhZF73VbarKa0mgePFJCl8jJTS/cIQ258Jtr01bfwVJFy5D
G6hHQG68rrulmqW+FFjkPTw4YB5vhEzLZSMDRv8SOthDlq7HNL3RxMjLVYPnCVviODHWd/N2BPSu
FhKrxKGFPK6FjYgLrRST1qyKE5KXu+ZrODyXgSzvDAFFFwpQtc0lUIAH5eLmXgDabf3FLIxYLyJj
9H/2mCOY/WFEoRyrKP6FzC6A4fkWhsAKNnJw8Ocxjrd2z8NhsZIbQAh9zR+SX4Qfo7IjhZ0NbJWB
FU+BnNG+l30mdtkD4oBedku48LFQ4xayjNyKQYo1YiEk3Jad2qDxLhYRJnIArWH47PFolz22soWu
wb8Q8y/aFT4bZAqRIzGWqeo3AN7mOwZncfXTdv7pmw12CCtphyMYMrxJEL/vQ8sPN3DMkq+aVb5i
jwCrFB1bTBvNBXtN+EaPuHfh1Jf20L/VaKe7JgNvR7NGluymMIEkAvIWb1/nWXetC9/PzoJkh2Oq
fZVW6/BxmNhoh4S/i7pSa8oWh6vIzfbVAHh/8IpmguWSsvDoesL0PP/uPoUgP5D3lf1HhFzPnTvY
zZFz5Co7nZTI8tfWijqGtXHXz5lx7eshI3TjZ48QJLDOg6u+WEZWbP2ytO+b8lQnal8Mw0SeiWQT
OavhOQjsYUMmnZxROnrNnk2NcRZdKeqjzafpoiGQnNhZQ1LKgGEcoDW9hUGg3jw6vn80SV/d8Ziz
hyKb5U+FRSHDTCNGttjYAC5RzI6dulAIgxa10ZiH8Elr7KXLDtMLzq+5nFc67JO1DPpjPs1yGc8D
/BtjAApmDPCOgpwf3axpusznYr6GsyKKib80e/Hx96+nmohyEUv74OWwqrn+z/Wyc9P0E/Y4hjjK
3KC6Ak265tD5Nv3tv+0liX2vSF5vyAFNO8us3V+mjqetG0a8+tjBTEu7zEuAKOYINU4y55w8hJ3b
3j3fYrzaom820HZMF+Jyph/joHOihTKiausDPd0H8xRB7Y/rZRKG+YtR9vMzPmLrNBP/zBYmLthD
LVFPlmVsm/tI2J/4WbMVjQXZBxVIlDrPGAue4YaCkpdcPcpV0LTeaaz99M7yu8lfdLxb8Xu9Q9pL
+Bhn6Rlff3SxGXfZrc5hhCihYfxC0oAnAM/XNtZTVFYPXJFNtddNMj9VFpe3xVhRKyC61iV3kQ3P
VFR/tj0+4m0SdnDlInYCXtBFv8FARJvSRXKC3oSQSZYbL4PUwcgd27Z+oMjoJyYP/R6OXsJLl+w6
NQaZAD3ipU797E1p/hsUMVEuu8LMGCeA0QA7vMWpZbm7NkUXVE3NTpWX6BiR0/ErNp8zCtxrEEYf
N2MZXy3/2GCgWxd0MCwgye7KxryKmZ/zlFb6MEGbYDHbLAQ4CVIoekabqCcLhiZfkl0fJM5xLFP3
OqDcAArpLRpPAkV0L+XSgSzYfcC7PmNo5QdF7ndvAVzYNkT1LChLRroCCZqvSsfSD1HIZxraH0dr
gXucgmn9DHmc+icceUsI7e197snxOQMnuKLiwFlkeekiSOQsGivHeMIVtx7lRJuDsPwH3YEWbzFt
AdNJ0hdzgv4/tDQStkNZf5ZtmmHCANwecd3awdIMXqGZTJfQdKvPobPGDbqOThca3uK1vTk+CWdy
MbG6HSTF+BRXPQGaIW5+0rQ3H0fUmi/wb9D8Q+dSW21yLLDiH0qrMT+mcvpe6vkWAO+hY38/DUZy
zGHL0NyB9PEVhkKfZrYAyWqkbv6MWYUXCcrLB2RvC+9aB18NYNpWFzq5dyfuURD4g42nTKwGqVff
kRhkBkzKYmmG0l003fhZuDMhxbo5976tMIPV3WoyKSLxVZLhlkC0w3sBBqXXJy6dySoNSnnJBwtj
Y81rHQ4w5dI0ugsvOU2K6DKEwdoMLljEuk1RqRt/Pkq8xwqqvk2qTZibuDGOvBMBK2JNip+Khvfq
oprGMlkK3adcI4JmPnou9BISe8ajLyZbvAGI9L3DEHaEyNyaCieSs/KLSxbwPPbO5g8OqWY7alZG
nqOj5jAXDXe/1s+CT8wMpom2wGnUyQEvUe54IFD7+U50xh0dU84jl8npkAZIT7bosOW0ScBt7mbv
8os0mWi7MLtwoVlxP+WZGe2Kjvm4zHHta5Uebad2z7wR1NppouLkRtYAApDs2yteQvtkFQapTe6Z
87lVlDsy9MMQyrlZX6vWak98X52euxcM0LaZhofMgHyORYR9vTRM9JPaLWcL/JkUKzQZs2XXXebX
mTQkTk6yYW/snIuT3dEVscTi6ZztihsK/GLkJi6rhbWII7e6x27iuMuu6EJ3AVspIfHVtNG8jmYB
zjIL6/hFZLF5bOsayn1MB+Uh8rhikF/cV1lenAdYVzmFB8WdNbjegx8JaXMBo0l2mWIc+oQnaH5E
de+Th8i8N/bO/d73A1YqbEVxxAL7zmK0fBgomNV9inLLfizxMbA9I+6l/SdI6CCFW5yg69H32M+r
G/a/cYDQYj1l6YyQbqAJLqc0bLe8td4RPBRZXphrsS/jbe5jxx8TtY2t6N5qnK/GHKJdWFbGfkxD
QjBo1qKOb4Gk81wB7RvculjlBDuvQrcUILCW2IYOBeQZxebLXGZb4zZioBTveBDzEspiWXE35E+C
2b/8EhjNVklk7Cx3JMecceFmRL51GAQGrSPxS9BqbHtx9ERP3bQw8+jZ4NqxYBzEKpKqC9M5LSza
v7OtrlkVGH3tBI8Yw8iHEdqnzEnhbDo3zhGMGyhvP1VlHSOcIQunA1ilKP9YAUifFlkVq72XFSwH
tTlgOw3nVZgUNukljLEZ2uAqGUiSuYGmQYwORDjGgJXH92JosCzGO0Cl8aqS5WVGZb7XdlGt3VjM
5G9nua3tMEC3D0xMs1NLHVBg2YcUwv1jWPvZVkKDXEYNdTON6GkOkslNGavJD8/EO7mUGtOwHU2H
IEXomOES0vpkow/3PnnbXLUnF3dJQqKC5+u3ZM0ySjnYxMlhJw0v/NGbVv/apSUrlzjOGVhShTtt
7G74zdkahodcpEW8dqM6+JHLYnxnQxkeO/BVzq4N6wUXGuc10jXBPAVml4Qm3KsRX7mZPLp1NOLh
sG2YZKMYFxwc4oXWj/wKvbHWC6OVrtgaWd4dPM9T3EF9YL/EBOoXMFJXe+KjKJT/RPuCc+QFA4o8
qf3dmNNOUEOgQ3F315SV0HzTBVivxfDbmuBXczsV/hmEsb9jxioVX7k6f5t8372pf026qNpw+Mk3
K1kmTg32tijibeGO7naks2HtkH/bWxBLMZda4075qAQLH+DwOrHa+kglFQLDbU/8IwIb+FbR0LJN
XNVD+PQ679nn4iLZC1BuSDQLw/C3pvQ/ravdsaqquupL/Z0w8S9Qiv+XMBQI7zcYxL9T4P5325fv
v+L3/D+lUfzzN/hTkQu8P6TpWIHwwXeZlCNBC/pTkQvMPxDBJHSJf3In/gGksII/pBO4/L8teAPQ
DaCt/ANJYbl/uI4AysRv57k2W/D/DpOC3Pi/oiCQyuFAOC6bccuixsn8G8uI866eEjCxe7pf2Cn1
+JwvHoQttbLD/raQHvs83RU5DLmFR4sZOC+/7JtV5ZFdMnyZrl1cdfs5Lh2EOJGN/WIYE/7ZYdB+
Y20XYJLyx6mlLLONDmQPSQ06rQXAmSE7OlcOy7+dgW3hjehhXK4qMynxMpVmRICB/Ku/tvgb/Og0
RBZTAQxb+HiA6dzBeIq89gH7OsvWYSOJ6BhVCVAaZraPXK8D/RDA27g58+ljWlrM+NauGdN2S8PJ
YDMzYW29x+QPbkeiWMAjdUjplKwCHhRR/5DGp8GTC8D0vBwbo+ko7/EL8RUnVHutmwg3HpYDQz6W
cSjzbcCU9Ypt3+oZasLpFxEGdV8TPlt1IxRQ1l61xrfeyuE9hsW4hxFC20pRu8kbelnHe076tHRX
QjyM2m1BGFju/sYdWlAHyIUPY5DFmGzq8Em51vTK7tkHuj1bTOCWgIBl+R7ZdUAMmQtkNKVKviaM
eGcVpr7T42wcbRKL22aWyXwmkNObVxrc6Clp5dREGxqy7OBlUGWzn5q4M5FWBAPXDCKg2U6jiTNw
QW63TfZN1zni4t+eS4ZLxu6CTZpDL3nqUMzwSbRsWUK3rl8tePvrbhpuDyve94pCJcWqf81vI492
IKFAZBTQXMxxRDwrvHgwL5HnR8PCgH63xGPTrMywZIzsxfiIvfUrnRrQIID6lho7Ga0GDPx0TxEs
bkxrE+LdWQ5TOJ8D79aRZydsRmapNklmTniFHPKEvDK1XNnA5a9DMELWNADWwRMKDggLxZqOhWuX
+tHZzocXi2TVkt6NE97teolL89Msin05tHs9RuXWyEWx5UywlsxHydqeVXkXWXYJGNaTjwXm2D0E
aSzotuTRNZCJC4lqGlT1oXebE4wPSThOol+GXBVN3HJYeKhWGYrmBP4AgDoK4ackfLpFRy5egESV
58HOnF0/YH6F0jgtjAC5G5M46Uu/9tY2nVGPXiurc1vSwSexIa7nwMNFN8YifI7y8ZopbC/0s0R7
xoJ50Xhee6AF0V4kQRWuvNGGUFulH5WZ2leaXrINjp8BxrkV3nqY5VoiOC5MyU1iAGGSmKq/a3J3
hokQi4aQpNM/5XF9P9TtdhgZMxe9g0GopWviEsZ5t3TmSRHHSAhDwfmuHAvJv11G0/AoxQ3O7xls
PuvffQ8LQ5tq4RDfh4Oj1BK0u3dRxEtfcUz3q5h/s8A+Ub5KsMi8jOwnCQvTxtewQFb/zM14a/Zl
cG/MM/jam323repjTXPfjbTJgj0wKi6r45dXUrFRxEAiqCM52zVGWAOBxiBhFi3mHIURg0y7Rf++
kbyVt6FWlBhEzBWn7GCok2wYl9rzcBpOzvxq8OfepGk4r+NcNlvq8vSdH2fWzWVINYVTXV3AHwey
X3CrRU5/jG69tS9Huc5sLDNtlwC39lAysD3POMUh0q6mYnR2lIQg7Q7GAGcwtShukiQsV1Pe4Nek
Lmf6kaQKVLQdYkMNsnrt4gFeB7Hj/FJN+1U30ELQzpvD6Ib2JoYSQuhSJkuar4p7/HTuIlIdq47c
zj4qoA8bgfTOX1475b28obChM/sIx3CuEG9Et3amxn/RgRV91tmgk8VfTtX/hFTkOn8DFfnCEcKV
NussYUkvsP+GLiO3Q/FcLOK9b3VEDkJT33prkmq6dGVhP+tKSd5xVZKttN3MaOFM/k9lY0xr2tnN
T/atQXqaKm2a64z6iZ1hueTL2ttPf1n5JseUhidRL4GVYG+0+qRgBvDNeO/A7tWXUeZtu6iyWQPi
t5EJPVFSjEJh3uAcIRn4dzMr5vvYj3lFYQHs0FBgCS2VpboPw7YMF8XJfcm6CbhLyY2Z2InhOAuB
S0TDEHH1XRBm3V5rb9pSg1EeZ4TjTR7nNBfCaNw5IwNcMA2a3QA+c2DAsMSDUP1AmK9pv8BF3SLQ
8GccMEUQmr/VQDjpxhs5txQWgEUl0fdcjcC2893WwGOLb2XIt2SocLqyWBp20Oid4uRJosVBi0EZ
EdX4zfQ2HbrOkvscHY/smRTGY5a5hOcrRQJt6ux7ZI7o2uiJzGabbejABB5azn2Kx8ysLkUAHsEn
9ndxYDe9lEZtrwYI3EtF9GODKMbySkxqXQPl3NiRf42Jg6Jz/qSS4zgE6r1S5raPCTcR4pLnOv0Y
2DUEhumfKhOagmPM7YosevcYi4yVVsWD476B1Vnc7t5aGruSRtF3s3GsdZGDS+09sE5G+YhhITnH
YYHRm5w+YfR458nQ2XOsEJBWbv6j9WpiEJ1jI/DigSXwUXfDmlCIQTETCIN0GruVsOqPUcfOsm2p
ocOFVe5MPpsXhAvzmkTOLw9Y/CM1py1Qnr4/dwpr/oa2ts6gMsQJ8f33JmUq5QDq6jOfZP0K2wBK
pZ95gdwGcsALReDJ4qXsOOMLWXYT0Goh6vfJcrM3haIwX53whiOaaq/BCxxEzZtpR/EZW719JjHu
fmgwrYusHnocKo5tfAxx1sEbcge9LE3FZG5QC+DFHpnWApHPtuFR49eG6GwFxdUqxz5ee1E2b50c
ImEORufOG+P2rof1TO9UUkY/ncKPHoVU5K5S3jdNoznn0ZFXrhwTzPWG/9Rk0mSotN13brUYdb1o
jMydFk1+SHRjWPw0zVjA/jCyR12S6FrSa2Ana9FmcFUQL1S6lFw4ujUvu7rZZCOM1og3Vs0kTona
ktB1dC5UFPA4rZRj35vntVkazeNUpcULR4v83WO32nH1UhavSFr3bML7JOxTlmij35e7egpm3n50
9I3Qbszyh+uk2V02ZfaZvd7wGOFIee0JQz8lhbyRtMPocTYyrjy2aMvrd5ebOc/8dJuEo2lm63Fw
fT0c40ayU3P8zjvFGfnEm9vZWbth1a1Zwr1NQNcPsWeiRYopS3FVJN7rFOqvoe5Bl5rmMKDtlRtr
Sji6AKk4WzYa48/WRm5ZhGMPZoNmtOK9E/FwpRNDviIoA6DA3s/sHHUw7xeJR9Xn4Bf2zzlrYA2z
kXyjRDF9pPokeKcza3wy5VieUgZptq+lReCRW7izk6nADI2XDDXqu2YusWf3F9b8dIerR1HdNjK/
rp0+6zlXIW3opRzV9FP4rXHWoi7AQjGg0q9QhtmR8qSGOjdP486xhk9RUJzBd67zX/7sp0sDFunH
KrMiJg1LRK9Wr6eQdMSYFJQBtmwFFYfFm4+d/Opodgcwwm1aTBqCXH8pscPPCqNFD0F34KXX9Ssx
DSPUgLC5NR6M2vqpvHrKdnhg4w90cHRbgkzDXZ3OatFYYdEu/uy787ljC0qXoyN1Xkm9ofPA+4TW
aJ4A1/cUPpIp2nrEc3+wn6Nz2lRmt3OAmj2XnRPfKyjqH9VoqutgMkKh/Bm34QkXGh+CiC9hUaUU
CUFCa9jQR6V7mofa3Cck65h/xgKVHttqkS98Sa2ecgI6q+gvukyg+LB/C6zQxJpz44vQBt61rrCC
HEyacM4ITliHbVi/d82M+3mObfsjAsLdbfjIN78nFWV7tnvU8dHJE72WFFQBSSdtse+ZN74siktW
f5bzkY0uzVWTeOM6NAb8AUjrzQ+zSGe9NErEl9wQ2B5vEYh1AE4w5nbQEQnP4lkduzYNLjjBgkee
T3lG4uXW6XbtW9H8retvTJr6raByGKkENgRrKwMCmhnpcd9KA/scHAcNu9sB55B6FZ/HtAb8I2Wd
XPrEinaNQXMUpGYY2C2iW0f46NbxY6eZspbkcDyC2JjlwaZhl104lfcMl2H6YI4BMURBF9uZppxc
SDhh0p7baZzMZaKC8X5q9aslxBVkVvOE3tYka5RP6myhw1T3QzbGu2G2nHd3Njz+1ZSrMyn+cd9g
UVzXo9W99o3dfY0R/oiVoSv/WomxuM7YCX5MOuckygaaoYsWd8ByptIJm71ZortBgriLqgAkE9lz
cFffFYaJHT+3VI8cIJGr9pAliGdbSsIpWYxaX5/LIG4v5PtobYmb+ZFUNmUhnuz2njv4b5h8xmvL
dQvTymiEe0YlN9rQJZHvS+6b5Oupg1/NPZ/OpQWq3rs0Zg4hUiB8LCkMnrai0fb7QPZu3zeiOgsT
Z6cOPDzRskViZJ6suYHFkIOwSzb4aYxWFyiqjv7lsdH+jOocHyTbcdbPST/cbqy8J94ZZ6mWYoT/
R8/iUN6cDqOjPa5F6fQj0mQKFzxiALYBpSDM0nWsu1UxZLe4El9sCsSG2V4ZHqiBdO7Vk3Ty1FzJ
cKRcW+R2GW0jg5QO/qTmzscovc1v2+3e78dXoGBhdikoRuQzDIEXcm3C6gIaCO8jNuw0iNY4Iokn
Mgkn27GRE/cLjzhdHnArmmoq3eFp17SNiDwgZNeo6Nf/pdaxaP2WfGVOvMDW4TQdKDqh4dH3aJVZ
h7KaftYB1zZ6yIrnEfPnbyfT/l7Qe/VCb0v8IyiHHie/JfRWC8MEeCXVFmx5v59IckL6KPsv/C0T
E7EtU6AuRZmPywacBOuhsCOeQ5cRR1KzCrKJOQ5u2YoCVMZ8gq7In5Hn/JJeRMeKG9TO0xyY+brE
gLmIAvfgJYPc0OJGGqEL5uswTuKco86sWJ1DCGDFM9FimlaPHUjRX98dkonTNtccbjpndkdUvq+U
wbyowI/PiFIwIeP8RQbGcM4zOT5VtVfuGR27lNtsJS6Jp/1VQB/pXZcL5zDwhX+aFFf/1sinXeTB
UZqSsfzCcl9eHMwDT3zsuQmn8mAmnb0fzVC9YtyXx8I12U3N5riLHRsDTRSDOFV2ubUyWPmec+VO
3j5ob2yOIKTkKWbvusvcxH0TFHJ+hHYaQaoS4KsT2a7C2cxOdV8m9x2VoshUlJnSrkMG1EJn6EIr
+mKn8RyORs7Col4DsbO33O00+wJqLycMtydVq7dgmMst3WyguuKgBbzVZCsfA9AimH32Dyq4K+Na
750u+WV6XnhTKzJQnSm9eLbDfcDqD98VmS51asfQT9kqAGSlmIaeTBg95d0siTh9l2VyOnR0KEu1
UzRGrQzl4/sSTrfxEmAuVbANoBsv//0Y93fwLVOc9PEPSleaEu/ftynwL7hZg9dvqXmR7OGzUAFb
3m5pvl1FZ2wUUi8dPkIwHlzPXNS9TTx76r29LmzwTv/FH8T+V2K7x5/EAwTh3LRV/sf2/85T78Nm
LHC/7qfW3aZDpz7iwNbzQz3IoLv4bKDd+wygiL3GPKEfB6iTLZnrVJHUGfh+x3L4oUcLz/rAphtr
ClXA5sLGxde8u+Q06KPvDOelUVZ+HwQhT96181cfvi2yxE2QK4BGfcBDKUuM33HzgvxhbEal7Ks1
aONXG4dcvHs/esYWQP0hyM/kVSW2XPCKk3eBSBAF/EG8UJnFByWJx4emclN/hRIbAEYQ2VHGitaY
qSK2OtjRRRPQXNKwpR5ZgU1HYxztO9psOA7BI23sMX+17Eo8KHL7njb9pXUTLb2bfIlpByVzIP6F
VGpkVrxGcmXV+i17QlNBAvWwlX7V38KoJRvv0/Nd8C4OiYA5ms0X1xZNQxCfW/4iv13YRzyc1iqK
/GQHmn18DmKbz2n+fbs3v2/6kDO59Y/fE0AyZNMvp2wJCYvBv6Tfc4KpKnsXjpxo6lbIubW/xwnU
JPc9mZNbCjCgRSq0niPaS/c1PRMAJXjw2Uy1hZEGt9TzbWYZvscXCh7h29xmGvc23VASOW/DeFTx
GmNWcU0rIBjA/ZiIbrORf5uSYoAaqxYIwtZqWjTKmyKKjZPJKv8eslhTgjG7TV7BbQazbtPYZCBv
N8AOpiVaDuNaHcTWfHWdLnvDOVW/O94s+lU5KXt8wYrBQ3Kq3DmrmflyqyWhE35JU7+yCnPLT5At
OIBi2oy+lN0D6v33XxPrW/T/i0vXR27x2EpYjsV+wvStv1H6e+IOoMs5Tsg80ahK08Kp0pTsdC17
prIQ/r7xW2zsEAkwgrfVxcf8fSK3DCbZcPV4cFXUoKbNRsTGG8L1jWGoH5l6SC9LdNLXthjqYREl
dnOVEIUXtUWhVTQleu1644Ws90XnmprA2yr0ZPoFS+LOHsNfpYFDw01qF/BMkz1YARSwZnTTA9zv
a23Hl9IK74N8NE9RGPUowKTuRXTlO26fRTHfMZjhAzQIi/HGE4Rk0OtIwraN7+5iQm7DQrlcUDk7
xG6ovfyeaLi4tytzkOtKOtGT6RE+j4Y0WMOiNcjM2ZVGe8O/f+bl0tz7GHA3HTcZRYdMbWg8hnYw
rJ0xzw7wCQroDmbrIhm69a0npmtuF2ZCVhSY3VvB0P0gBheuKhv/GDn4HBfTOBAzy73wLWar8DY6
E5lVXVTthlxTvE2KhtQiAVuPnQV8TsLyGHx8h6+cZG/J3691IaMU6fBZ4EPj+OpFuGUSLvGhdMGU
rmKrhf/i9UOAV6gNH8IhiD8KU4Zb5UXJOgQ4+TiijKAUJD7RRGc45KlPKzOZszPS4synkktnngbj
MQtiA7cMRCd+O7U0Db98xE3lUyONLfRZwANcqsim+1UrNDM2OfHG7XuOtNkZQFU36o18aPJkxJ31
o2F1CoBrFvGyGhpeTaNOH6B5Q0EGpHl0eEvB1vFonWLXsNZR7N1Tvpo+0z6DrzmLg1v8kidzSGwh
83WBS/MEx0NsXep2+F4HqQ0ctroGga7pQkegcL9Pojnu5INrtNGdnimyRN4R9Omkdqn8eyxQVNZS
eNBuze99kkkZFvnG7z2TuK2cWlRdYnb1bRMVdpQvL4JkSrO1W/4He+e1IzmSZulXaew9E5RmJLCz
wDrpIrTMUDdESKPW+un3Y2ZVT2ZUd+b07lzsAHPR1VWViKKHu5P2i3O+Y74Y37ZWHvsr89smq0Wp
v4P5JO/IF2PTVZia5mzKGHj1JubpjXlNpNWjYroXHyxbGOp8qVhAb9dz7M3uxwlk92SygyfvNX5M
8Hn0KBsm/kpnYOGsx5oDQWxJtiPmjaParDv84LVNc02EF6OmzkvS5JC4AtPzzADDCZrYKE8sOFwx
is11pjut493UMR5qnJ1EtKlbhJoPcbPeIGbCZkjGx3W4LDBAPLmrjLJfX3W7c1i0nkwRKyKih51D
lc7t868fVGssxs+PKYPCgoeUrQvLsOxPZgKdyXzKSFQekfp5rrwLkC+n1fB/YTD5j225b/9hHsP/
j1EL0vv1gvv0OW2j57fx/b360WhifP+573ttaX8x2DAIjy00EYSEGv2515bml7UXFLrtOoiAGEz8
e9KC8UXqDoEKliSawRM2J8sfi20Xo4lhmPyJZ0oTRca/FLawbtV/+G4Ib11rUwyvu3zTxT67bhZ+
qDmdcgyjhr0pQ3IgwXm790Y3O1V58wSJA1Wb1AP0yMUmafp9iF3Td6R+F4VCPy3b4cEak8e+as5F
s8z7KRr6Q1d3l4kqaE2FEQdlr8VBjQDDb5zsoXNXt7CXPuBzIAhrPrY8YW6KfkXAQowjXvbi11/8
n8vYb7+ca1mGQxiyRWKF/emXw2ZNjtVc2igJk8AAepGGHzhgL3Uhf1Myf76SzSfpCDAaWIMMdLOf
MnWU1hhyyHM7IDIZlC8UDaS9c1cGBkjzX/9SFnEfP3xkkvZASDoE/g97ki3MTyk4s+C5p1HkBSB7
XwkeZUqcFzjNkQM0nnEUDiw/MjGg+q1JAZAD1GaWR0AqCDLYsxqCSd5XeztGmyeG26LIzzTHXALH
aR7o+k9KIZ/NKKAREwFByy/NlM+4kiOyIIqaQGzVEIIYj7TM+nFuoZmz2ghbAcMdhp8xmPdwfhbD
8sjw58mqJQzmFCHrr98DY/3kfnikrb88a2R8UQJGOxXYJzkGWORomGHrYh939xEkECOfar9iQ8JC
gubsocrFs0apiimfsxjimD3kb5kWvf/6hXy70M8vBC2IZVqSvg2j1WddyBxNk8oVcc1ZB9sKdBWL
dU0+uKpd5YvZK4/eExucANkGJ02PMhqKLbhGuWfrncFNN68wNdwwUwsmp97bSj4viXrKZ4ScmXP9
mxf7OVlFItjhIUS4oy7xi1ifvqUFVEnSVqdoq+tLAoq9PJb6yDJYv6k1cVZ1ABr68ijxQHSivopr
/U6LJqyvyB8jIC8NOa2DAQ4HipS/ZBH2KHGLkP93MW5/+XR5nR46fRe5jY0SSK53wI8PJVVLIlKk
BuA/u0GZXu/GPB839ThdjE5/0oatAW8CiYstOlo+BK9DvQBnh9fCKO3Xb9rPgU3S/vRaPrfCuqiM
jPEoNh2Q9xMZLikbfTSTG2T3+/a3l/v2TPrxC7VeT+h8mwi/dXEnfvpmkwGYuktGFCpZK1AXgfCj
UgYdlI98K+wbQ2Wg1+e8DIZSAymQS0TQ0Xxk69GTnC0Cw5F/btXIJLzwioeVcKLQnUDnuKXtS0+I
hQToHHrTLnTiK5ZkfdCBLNGs5dTtWojgAusa8Qcg2MDKgH03qBj7E1JyEkbYUFhtG9FFraldOJPW
UXlYzTu0y7Bf6gU5AfZBGn5r21nLb9qtnx+x3z8IYepCcFZBnufc++lLgTo6A7XFB7Es9naxFUCV
84mWPs3Pfv2Jm3+9TSSFEoeia3Mhasufr+QsgsidkHvaSiR8nfS9QJnB5417avEsVottdJ9M441d
L0ddP19bs/kYumiUhjZ8osj34aS8KblsCj09NJmJYrI5m8ps/+vXaf/1q/nz6/y09ddJWVdmhacj
XMQa8gFNWyY+AtGHkAOapce6mKiGGP9hBAyRQGpy4nFgVwSBLHRH5bho57ifce1NtXWwkng4a9om
B9s6pgencMO9qoV9vIgmvetHWFoMa8+HtZGzqx4LXMfSQDOBvhUeFwY8OQeIf7MNKjNzwwAZx1MN
0JgsgX5P7vP91CXPYVThDKnG+QkFzJ25uMh6qRw+8mrADR4q+rW+VieFKBeWLNndr9+zv36JqHYc
WkmPY9riBPn5o007j3LDKrxAOeF5V0Il7kg8teQ+rMzdry9l/KNrUXNIKm8LaePnVMopQRbWWqUX
AOqzjvt+uWcvZp1UzazuopEsCqROxCXMZ636UDJm2mm14HA8Dtixgxa2zIbgQ3GaS8Obf/PiPrUE
PNWkZTnctR5PG+rVT1/xLBkwwoEkDpI8O57VTpLuudRff/MOfK5UuIqrezzEmCYilJCfKpXGJIEc
J7PaJka0kpqnwwzpLQgd4tDjiCAGokZGVVXPWe18Tcb5ygHAmeisnKVdILFeyMWrm7ggUmNiYuBE
p5lGJnkT4tL99Uv9R68UCRmHIl8LElw+PVy6xAozRG8h8+SSp0qc7wZMEU5URYgvWFyT2rcjcPXE
NbvfnC/rjOin5710qWJcIVCXQqn7/LBh09wtpUJRllfyLhwljxj46l6JnN1ksNqzlKh/c0njH10T
uakpGFtxzjifPhcvn3Vbpo7H1CTc5yZwBTOupuPKlhYZmZT2ef9KMOxXgIHPSYwWYTHxM2gvjPCU
H2llee6yRkikdWSU0o+T219/GPZfHsA4eKnvKHDZqblU7j/fpZNWG6VudlrQun0QM0MInXAXJtwu
wBjg2aRLdmLzJWLE/JE40XG/iKe2bAirEeFjUy/VJhE28pXhA/P7LoeZrQZMdloaX44i3bMN46gq
2Y5V5St7XZccMLUblOYBl0z3S2WPxwlBpZsc9cqMbGCXOu37nOu3/Ww/QmIKSIfeDWh5bBWO2wFV
z28+IflzW8Zh55rIly1Jkcu9AwTk53egiOOObiOSQTvIWzN3rha3PMgCzm9VsRLPvK7ZsjY/q0iD
w+bEvymBvJF11m471V53zXhtA6TwdY3o6Di1/QkDjttJVMG5/iBrsqFzr2V+ZzWnCrTaBvEUEWm4
SJtRGBuZp/B/7THAZvjswlKE5+PeDJb3aJjxmaGsIM3MI2wd50MyEyKm44LAaPRGtn0FcLTGKR0H
6Ah8Q88vsmw6nZLkNM1SZzPVzvPQdYFm4SZMinHfdSRsa+ke9dGynfDToI3CJm0XlrmFpAQ9nPQj
oKPs9/OJtVyKZ8RufRKztA1/dGw61StU3osyI58NT0D3/usv418OWQTkeP8Y9BoGiubPT4ZeFGEh
azw8hK/UoMjlYSgPtYWC449K8z/bSvBfyCQgV13YWl7987jKffn84+jk7z/x9+GJ6XEjGAarKMFY
hefyd1OAtND3M8riWLF1ztc1wPLPmErni0tfzAkvTU9a6HD+Pjwx7C8ungBD55P8NqVx/xVXwOcD
fn1hOmMTehSWbtbnUt2UOP2dbBy37EDLDSuIhYcUCgrDiJjvA58//uGdufx+KPzth2TM9bH841Hx
/XpcECiIzvvx6ZDKFNY3xP8j1S8rX0rgj2FB9jeP2vSb5w8Dqr9ey2G/4Zke54PESfHzA4gEX9Oy
2OFsTcwKpDc50JIRpxtHOGqrszRUw1m/WMk+Izo6UHXjvQG2GS7bYkqPcs/u8w3zdpIfZyY7bOpa
1Nsplc29jfSNYb8LgUcIZRz3utm+zCMyPxC/ZDgiL3Hh7eRLNsnNaJUkvDBIFm5q3OZs54adJePa
OIEvqZM6abbKb+MlpIeR9nsnonIL8Y2dAJOm/qOf6PeV4FRPC062MsyWS6822dMh3VB7XFyo1vtu
uEoQS5zUuofIs7YBcq9DcV5KL8Pw3nX1Ba8bm3LJYCeT8Atc+LAbTWlyX6HoLInpSgCO9d6oSLGx
G7PcWHJoPnLiEY9lK46k4vtgDL251SSBRbO4XYG3FYFZVniMknU5iQFsX05TRuQguVk2oQ++iqsH
LSdpxtXNq8Rm81048pTTiJG3Z0abGqe4b3lac7om6qCBQOEf6ozRSYfLokATLnhU+BxbQ5tgWszt
Q+whOc0nOw1mmLUbQYQMPCl53hVJsstapKERlHgLa/rW0bztEBYzZG3zCpjhpjW167keAsf4Fqcz
RXuXMjsA2HZkYj3008ri8quhQTfUByp/hJ59wt9EM33IWB7aDIP8kMkCtnurB8Lm4qbI9WBw9StE
hECgMIkS9KeelZme5QW8JFOolzFc1Q1knREYqu3jUb8qU+Ss6zuaWpEXYIa/IRBH+fpkvjl9eGqk
8qguE05EI9/r1QS9ghLTx2JxBQdj8svceEtEvrNYt/p53+0tPfnQ0Ylu07B5cPiHIXTPkf19ML4/
RSlJRF1q+OkQ1kRG1DeKjTgZeQQ0oFcM031nwfwidmtbcYT67uTCC67ZcKlT7AyjHiSgpC7qzjmP
oVoWQ8Ks00Jja43Zie5N76KvSE6bGrFLcz68ZnKnjYfOdTN0qM57C3/y4har6QCxbm+75+YcIb0P
iU8L2/tJmYIokxEEiQUFR4SQmC11OidQszAVhptSg/9houea07DYgFXGO00irWjMh1T3+AVCl2EG
l8vG+IVEMCzrCNkzCjO/kyVtHskxUPOSDXkc5NSU3RA0LckVfLBXcL48PyzRCWlZRnphzo2KFxfh
ndYOm7CVt6POb1rI/HQg4W9j6xVO+7Lcfnsq/mcfm/+x3cR/ocOVtZAu6S5/OEP+wsAKnt/Ign4u
3v52/qyem78dnof3LP7xwP33/8ofJ671xbQEmwDDZtKskwH99xPX/PJ9tG1xZ7tM56hJ//Th6TCz
WFe434FZ60T6Txue/kVf6yedQ5pCCp/p/8uB63hM5iUnu84rwY3zqXtPOFxBJBJ/PHLsJcm0F3a0
M0hPTif7N8MV43PdJzB5U/K5XNDAYiU+XUuBPS0rpw0hLJa7QQ7Xc068TSqxRRMT5JEKyVS7G+89
i/DUhdyRFYBvPSAZoZmaSCwin64wDz98ev+gAvgUtr5+Irwqy1zXefzNN//lj5PREPqjJ/I63Faw
pru0PiIpoPNHUwJBaLYLmxSpkdPG42RF6iBNDObQzjehqvZO59tmdfXrF4R483OhoDOpJRvbQTlA
IfS5UIA6WZEVo8Jtu/QRyRX2kVrBsviewguYPbj6HS27qLKBg2sSy3FcAmboFqffJOlAkF9UPGlN
4VyFnZGxT4WEaNvxEcq2XcVZRxc8PsnpNaPLoG2AsVSc4UqP0xEp+rCZC7ivhAl4Qttarc60H7KZ
Cw6shPWN46AwnTOdTQkqyF1lF0GSIQ5KEdZF8bHQrkezvF7CPDBR5ZGrgfJ83mpMRMfeY3ZnHiuB
BKAuT1thHtAGMot4WGGwWlT7y/CiFSdYpNAPjNZxNW8y0z6k3t3QD/dDn1Y0Yy2puJM8sjv6eggB
HA/ZUO6tpgvyFjdyp64Wlu4yOc9cZ41yJXlx3uYyPHYiUip4enthdjo7401O9o5FStDUWgdyZnO/
J11tJYfsNASjBJtzVHpkZ+Ihs5uzIRK71vqY0I67NtfMxi2P8Z1Vlzg17um7j1FYETaFqjlzANug
Ro8JNCUxAczEoWlHX2EBF3yPes8Oqnq8LhsHiyi7fc069B3ZmAshBxKCLei0wKhfInlhshsqkITH
JM6OHCG6DtHR5s4c3C0TSV+Lb1LKAK05x4KxQ7T3PCQhw+SXeiqf2vYVRxKFVY2V1btoQ9335su4
KQ4utUXuyh3SXF+FJA/pnlPdxF34pGSuneHHtAPZpxfAycZrc8Fz4yu+WmYXepfYPspXZdUsf6qK
Nw0pDeALgEfvtO/Rlbmo8tkD6oD421lvGio+NP7RkRztG0n0wleRmsMRhtr+kUK/3PSWp/ZYkBCO
U4Wru7xKCz/DRLbBe4mvz0zxiG1CLFE3Ltq8nSFaGXQNuljYYzh7eRVErzs06QcG6T1ML+KfzqKh
ik/REVw4TSuummWQ152Z19/nff99SN7O1fu//Y/ntzwugrhlAPXa/XS88VAiQVDn6f7Pe1AK2+eu
i1tOyOif/PD3w9G1v7DotXnisU92OYzMPw9HV/9iIpf0hNQxoLIK5k/+PBwRAOh0Seup9U1XyWv5
43Q05BegSJybKD75Uclh/r/+J0QA9V7+cRi0n/75x/aQicTnZzEiYJvppemiD+B6n5o2PUyGlP9N
O2mXkbmbjLbxxzYha2H28D+jA0crvG1So0BZpMI5wWdX9UtApOikrYou2x9ZyZ8WI/uOkhAtoklD
TLaOlNlNGo/aLUyL6EhNdHoiL6IT6LJkNDSOzPf4GLyttCo4h0UbvQ2Wu0TcxZkbBR3yRbSI+MUW
VSAUCrMCho9REP4WMRr1cWrPVwJaFPbk5QZQxBrCCPgeFC9sRUSJgLabk8j1Cn9yHd3czSXsDT+c
FGZXmc1YHgpzrM/xOxIYDqlLv2G5lT1Y7GZvSIwgrVc3k5fandUZtihWYzMcsBf8As7TFNkS50jf
PI+4S33PSI8Iu0I531iZ8MvEwEKNNZ3urG05xpY02RYa705hTtBJOnwseWSyQWhMBHSZ8u0+htRR
CuNltUfhtCx7XNedG4MYikT6MgrsaTzlMu9NlQQxmyKxSMCR6K+wHmkmIQ0mwWxQ7ZDXW4D/dFjj
1DrKPCZiQfOJabD9Dt3hCW79uzkuQrzI5sRUfaH39rOk0Et/meoCDe6SAkWhojrrxZg8x4Wdv+sm
ca/7Zpjpyklrbhf0GHN7inKddY5DAj3wjQUQmrfSrH1RIIBSGkwterVRnXXu6B1PKMwfidtpO9qn
bNY3YooZrlrSFD7Gyeghz3JyxwCSRQcWGhqwK4vEHoJxXM9PFWzRVWxXIAkMGw+qt4eCilCC/q1q
ijHakcsBdi7WvL3s5Qz3GX4kNPweR6a0XLy6iBbbrx1T/EsUc/ZpKPr2llSy8lnpVkSjgjHfO+kU
X0Ufb0f1WhNB8Nh6UQl6PJb0U17SVE9Gj8N+A1vISfdJUjQ3hrS8S9s2NBaM1eidJiTTXuZRzdDZ
LSLD9L3Jba5cUUx3BLghPAth2LzTvTlOgCygeWCinr8AsgfVNrGK3sBAG29bCHlkQnY5bV1DKCkx
AND+NPBiMOc7lOlQys1xr3UTnpRoHO88MVbXbOaXI4tAb+7btD7gc4GMaFeCqQoSHj2ocejXdPtm
+qK4udYfDbF82E2W1Qc9bpNmaw/CPRqcWFySpkospWlnk36vaiDwSDWteUsQ9rKiGPgAXWSO1CWE
Vm5cq9bVptWbkSFw7arDgrgDV7d4DzNzeWTCsTXCEoL4aL2Wg0eppadJ8wLoGXs3opXpcRoSqJFr
qjYeqvEWjV11GhE7RmSKbR6TqoGYyFEdfwwxfltjEL1fWmlHOB5wKpjuuDqMvikTFqznFs5Fv8D4
h9odkCZFX3iYZ2Qs+bxsy5pEq4ElwAZ5SkOlRoLEYkLR8UwqjqJDWLDS0YSvGX3LMrtrKpCVKq/Z
UhagA0nz0A0/H8ny2pphahPrFNXxe9JX0VeQmtGJnhpEtNedBbVRs83xQeNGMXa1aTU9rW7dP+ZW
EjXcImQbbNJ44dZecqe+hBWSz7uiT1iH5wsJ3YZWdZuO9RNhEL3oz+s6nVESFiWx9oSWP7Q6fgVK
zLc0H8gcLBqe00OWiZPIA1W1RRyMi42u46vemcnZwpCB6j6ahnubjekpyZfRozHIhKW/AxipN5lQ
8IUNXQ1aRK5TEDO+esX7CM407171Oib7yC2G8pijxGG+h8fmzdYUozmt6bExF904nsV9rzpoPmp2
0DXhIPah2rmRb49J6W74PYUEe5dFMAMTZbAT0D3WJDZTAn9keoelhVMG3c2hyZv6OBRxgW8IPzwU
eqKrgnzMiCNmMNNGhzLvzB0wpU4/wG70yF1XlkJPkwmgjWlvUaQunm63AV/N+mMaZ/dYBxAVGC0+
mQ0idB5OHkGgRPPlpJbG8RRkY10/xhJPNCoF173qqsa8m2WJY0nUKUkUUWl+xcFUP5C16JLWzXyV
DKUOM7pbKeui6tziQjBh/lrPcm2mEsHXR7YES+xmslzyoGVfDg6VJB6QBOoOiIqeB1MpjQ+91g33
hFcIGBUPPDb1yJ3dxw4fOXUkY8sz7lsnP4S2SRXdjI645dnUnA65l5wDwzd3dFwymEKTJmbSCDbb
ZPDXIz8jY2un1WV8msyhvJ8TfSTlcMov0oRwpsysYS2PZXzJ0Bpy8mIYxACK0idyp77rlZ5+rcii
C4y5f6wYLtx2GDouU4IIg55h5KF22HFhVdPeCeedQtiaZh/g+bOOEojMpDjHdnib6woBcRnflmDx
LsNyZrw6syJhOpakl1piGr5ibtT7I90ZHZu3LNE21osChCxvW+TPMllb0syd1m9CZlXPoHLC3QT2
HcOQTAlyAlkGw8GTR4igsQxm4/KaRegJia5LCJ3oy+iiFFl7imhAbqtRxE9xh1GyUhBqe2/ah3Ff
4JTJ4+eQlR0isTG9duUIioR8loMzRMWu1kYAVMw5gKGNtRtAqiKRyMTK35xJMLhPxGks2EkNc6KD
gYaX7bBYrDZ/KI5+a7n2EV1kd1svtDWF1kQ0lnqz7UB1cc+pJAZUlmq+3trWHrwdVHtcxrcOR8sV
6H2LufU4womMUlfAuB3b5wXTJoEWVgiBsm2jo6EMIxKMBvNGtwkaMnovQXWvGALrasCA7kRz7QNu
M/YYAGBNMno8x9miupOCBorlJvDdM5HI7Bm/dvjY41i77qThfTR1ZrFlmykl/DKqHDIMCHphFzg3
WuU7qi+yy3iy4SE6WF44v/MxpC3sYlAJeO7ghTveBplydZlW67TQbmUN8ac1LHR/FM0M41V0h64k
anaj55ba+eQ00YmtkiVgdhiGeytCsejj553HIy+UbXno5kTcDxp3ZJHHwzVSRXKc0ty4GM3IBIXg
tAB+e43Hgyik2kPz6h7x4JVXiClQAZqqj4/7Wq9PRJRyrxLxlhBpbM2nUIpH0DfkHV1RwI7YbLwh
eoiMrlHMPIeVwppG1q2eTPU92RPVpdciQp8QtJ67vYCww7FlT4FTw0XZNE2MJmvO5Vtp2xUZ8pE5
n2sMyo+9qtD3Dam4g9+Qy4NgQYrXZXE7I3DBBj13UYfyps0LbWvP1fBCUkDi7kCf9+SRRN5hDQK8
GtLO6L//lrUtSdxiJoHpTd5aDL42I4y3e25OTE51XFSX7pivxqf8K9Sz6yzKURBmqj31gNZyz4a0
oqk9AMLMsXj7GGtIK191jCCAhXdfEadYbMJqVKkvbNKkNpL53R3qr/rUM8ry2itLcT3gvjijeclO
AVlnD9qaF+kLFPiv6bxEe7Cnax4ayobzyRUDaTtZNz258azPxyVRxDPzEGMgR6EwDXpmpeZDx1zr
NcwUK/1ChxdRYPLNNqqCI4FuzPXOi1otB4OT610zWvGuVNj02yFJF6bfi+42gcj5rDfOYMXm3iy9
+CvWdXMHdCl5WDSN3BVCw60djjSPsy0a7gy8FtdyNjMY+P1yucRW9259O3wbUrM3vPEwR0YVXs/R
3L5MBBCfSezEtw08AqNWSmyifBDPEd5vaAe2G1nbVXjlIXCeYXgtpnUBhwKb/qgUiS4x4CW/zRyv
34CnTdND3yer5L9ueWgQo5dsst50HnRl1IA26q5tNnrcoG3U9erV1urugBMtPiuJ+buK87G+b7wl
emtrxztkRWrcDYZOOtE0T+qIGM2WYCjQqHAqMAseaZ69aEdpUesHYg1xmTQWrlVnjrqniCYZIWzT
9acEeefVPhVu55Ig3iantATxQTSjuWIB63QDc8fbGmhfrp15GNaUmqKqAqvKl5pcQGchsI8AKcKX
y/Y4zxPGJgPeBgL3yJm/hEyxHPrMWqsbq0/2jt4mB9cpILCM5D9dK76Zh9EQxYtbLvnT2mUDBOwh
bgXITLUbvW/6yxx+9X061fNRalikwtYc+L5jhYtfGYyw0mnQKTE0szxpdaKcS09lEWzbqAz9MiuT
57zMmuhA8KK6MMucXyFNK1Z2UOmTq97LPxo8Hxa3S06qSpZgu4bptplBQvnN4jgnKoKPDKJI028T
Bz8+kabL1nbJLGDc05ORmtQDBUk5WO1xGzMeDcRi2zMACVEd2g5H1+AUsUZrGiXroRznwBm7lo+G
Ml7PSVEanLE57jiRnuMU0KFfQEQGYM4kD9wqRCM7iLouHDamAyJzgb3KSrIV0QoUAE9B7IDYTpod
kcRiQbYhJOwtd2FGL9OUd2sZmVdIWqLGRQeexkdARdv3SaWEuzc4/Fldht5VbUj9a+6sPUXnEiwL
g30mONQ1CD/pDes0h710MHWIwEMq26OC+IkaxFU+3SEvNuGlJwSmaPUQPnWNGzMQFUt2BvW9No8s
ELTqXvZTRwEoRywz36Yz/z3M+s0wi6CSX86x/nfbPuc/DrC+/8D32ZUnvugI1QnBwgD1k5TC9b58
071J5Na6jd4CXcGfsyv5hbkUOEaJ6hY98moU/nOzs/paPPiKSPucNfLkX9vsfAIsoqFgIsyVGF55
uBswbfwsOCgjOeqRxoA7jKj+Njq7e2Pbw/FK9jrjnoLgoCW7dGNaHR/fDAikQc0dxxlddO5HnRzY
ngLIQjcJEAkSq744Gyt3+pLM6j6M9+UM6cil4EfSAORmNjqLbofcsmPoB4zxFemtvu0N8RFjj23i
FO2lHRfmldcaJEmaswBfphWnE8Oho1aF01lv2jeujSiYdxDYA0dqUCJ1PUtanPpuxeZ3TLaOgCAP
MpE5Wx8szbj4gtwLBtREMC2NW+4kVrvAxu26tZweAnPtnYVKM84HrVV7e4meCiOOTzi/3CDRSEJZ
dOTcpWO9ER3l+OPA6DxP3X1aYTrsWmfZ9FM4HyVkAVwtOPagXujRm1cLFgGz0R7DMnqWkwaKVerN
jlbXDkaPa7oxLf4gjfMOx9zS984ODAG7jQSFcE0vlywvYHOPNKRfXR7eoxc+IQ/01Ca8j9yT49w2
9nGkI5GXtfZqU3Dvwsl6y7Jq30LJ26SEgDAsKjH5WLfK40lGBPiydch8CXJ2wpvaSO6zyJm2nZQP
eElPk8ZwN64MxpaxXNxPGEAVZTqdMOfyyLGJ7oDjp5z3c2zvJw1KV591l2lTUdktU4tSXeXmYaxs
5CUaUPhGkDFiCfNi7h3Tzxq7f8pbE8oNmGP1aoaCYpzJwyXdJlWTMdqvTdNr+6yv3QtgBWSTTGL+
aLwO+AaEpnpTttNyklb5eNpE6YVuVPGH3cAcpjJGHqYwveYtwGkmkR3YNwaWxEVdG7V3jOYENrky
AIIvWmNdEE/IVCNzL9OSicUolms3Kq9SCYxXjfJyyWOgBlgbT+K6E6TmpaF56SFoDGJnfs2cZNq5
WvaEF2c4o+w80kwmoJsBMBFe9t7ZSvBNJ5POuqwW7s6CrrktJmvxQSDPJ10qLwzNdq6RDbbGKdiE
xCNuvjBqbNZabPm5neb9rstJO/Q1+BXUtt5KwU8Gftkgq8AuorZE/OJjts4BILFQI5E9TgS/MN3g
dQMam5geK2/JlyeSIw2gIOq63w81pIxKx3q+bSWzWYT9USx8aZShDNjyjj1EeoPQUpzREToC1Qzq
VLPjvDv0gAw7PzLTNmeNaMfVvcYYKo65n91uwRLAiYbupMQMOzDmOHciQkMPbpE280lYR9m4cyeH
iZkibde9yQFol0cpsSLlR8UUB89yknjcAW2Ueb4ytQR/MP5em2m45wKkQMWQg1DRnXIfWQJ+P+aH
lX2M1Tfahbnmtm+lOUS5XxquNwQG7P410odxs26q+R7IQ3/sdQmJ5XBo5iAJDajHYp6i8hCaY6Yz
9dZokAjT43TG4a6cgAA53iyZapsGi3XPy/iaJjp3CMwCFs4LNU5S5CA5Vfc+hjWet5hxYu2nSWyk
lwK2V7JbQB+527yDgnkepTTkJ/QiES7tCdERA7AmwyjmAoahp6qSfd5H0jgSddNlrwQU9PHOk2md
QstywxY/lUEInCeZLYE+u2a/oG+JR+CCfZUGnZEP/KJVJGGthBM5JTVegaxc2Cua5lMq4mgtFrrn
kQE5SvhoqiGltT0J1e6SHOVsitGdaj55Q4zARXubdPI26qYHt0imoC3q+dF1xnq3YBG4shJMSX2s
BPVJ0d3gdWZjP7TuI0RWwF9WZy9Phr68jaIPA0zKxV2oNUHlgWRv6anzZuhOBP9dEBYdux1AN9M4
5KddM6QWbu6Qd3SYSfUTagSEmRGBfTE3mbHFHBX2e2jbnbmiqhrEckWRjSc8te+Gzp7Yc0Z1d5Pk
MrOuw4xaaZdJSYR73wpKt3UEOTcdxFYni73lAANTBQOjhugmk0b0pgny1DdjnLfR2kTGtw3Mn+GJ
CERgRrBZCBuKhrgl4YDGw4hJHEnH6WWKEjQ9ZNOVxsZVrIVNVa2pRG3iN1M7XHbdHF/YGhzZgf3I
mWv1VzPczKMwEgnjbb0nhnMpvmqLLkkTzqbHdnKqq0rTGV0Os+fdtks2Qzdv8uxyoEt8KWjpDj3s
R5yHudQ2Yw9hTYSxcaUR90tf2XkXUwcMaoNOy31RptvfZ3EKspa1f4ya2+pBawG5cT/cbKlPK3Cr
HyEpekjfwVBkt62GxbEli6nxka5EYPZKPck+0BA2yid4ST9Ph0Fcl6Uh7nNQj/sYfIrceTbI+lOc
THhUijnaaoXX3Jaqrhi9pGPxbkq3/BikNj6MtdlXQW0jJxNOjqCPMFvQ6/FE8CYMI+uMfbiWn2Vp
Zd+SiVXnpwW6svSQGiVxRyrWhmTLtMVlkKgs109aJlBJxRTvWBip/X/YO5PluJFs2/7KtTdHGTpH
M7iTCETLCPakKE5glCih7xyNA/j6u0CpKiWmnmQ5r1FZpTKFQCDgfvycvdd+rTQ53DBL9u71qsxP
ZULKMVnUofuQS0M8z1i7Tsm0jJUhj0RPzqDpN+ZoRIiypnw8ExgyBJ7pOvtQ+fRqImFcxJHZHQbb
BDEW2djfRQ/fiDWiQpPuQXyjHNemxYPjz+3DGBvaJcmv5DyPUdsAKyIMDZyHlmBsp1NSwigYmnxa
SZ0JW6/j4AHISgu+xbNvbmfLasWNTIf8qWhxNW2rKLKGTTEMIW4BjsLp0S+lBaUREHZ40BJTk3uG
qOx/oJ+d8obsam26gtMfmzeaPnEcIMgNJSfYf+aQreWCO6oRk0WBUnkEVgkuLII3j1zSXSRpP5+S
UgM2NpRquDHMMImOdj0L/aSIYOJ06Gu1t67bpWcx1sD0U23qb8MmEfUjRJP1WAh6TTmzFoamOlBk
Xnk/jv01p9DhnOE+2Kmu8e+BpTg3NLYVhOWQdd8ZmwW4PVt7vIpjUJuJuWc/K66smXxRz2293WDH
wIdINMkDLW3nUwuZGtI0ufAXidXyFGogjLBP2kF+pkPC5GucKsoHS79sJ/AoiQxvcZdA/W2TcNM5
GE1a6ChPntE3FwRyRA9p25Bp0Cqa5nrtRIC6ojjaUN2UPOFqPMyT19QnMlnJJrBsm1Q4Z/Q9Hmvd
CWsdErAELsPMoVC3rnXG/2o92Iph046cOsVpGaLtCNnJIV6pTtMCOHBoPUzGkPCYp8mNNv7U93cj
ZN76YEwevRxkE69scyyWIX3rcTWo2Ir2hCmFm8Uo+1IbhX8xgUG8nu3qunGNcdcmvQH9qyYLrJzF
qZK1RyKGuGhmeo+l2d2j0c2MFbPMC6WJ+YUNI72LXDN/rft6gPjUGDhALQ3BSieRMXJMal6jCN51
VYnwECGJ3uckrSRIhmIUpnYiU2Ojt5a9bTDuLrE3bAS4RSjbz2hr/F1bKcidahznq8xmSN50U/W5
bqfPHaplC0BsQgwaFhRB/Ja1xJ8Qx5umfxBZL/a8v+Tcfz/xLPLyH1yu1tgzq6268WBXecOoS7Ty
WObaH900v7gMNjSfNh4SA1O8E7INOP2qMNTUwR0lsze06umaUDDG3j9oJn6hTVvEBT/fzvJ8sU9Z
+mKx899dx/A1s8PO0h/mvuxf0mWHd7qZE0E0eQiUR9w3X/KBdNiV3RWm94ermz+L8Zdvk3QARFC2
D3J38Qz8/G0i8s20WlrdwZbQJ+OlEDC9wtnaS3EwqDa/8RoLJ09lTx+zqSLYlWpi0P37merCfisz
DMDNS+FROtT983g9uoznHKshSFanr46raAaGibExya9aKVmqKncOV6iKKmLq/dPvv8+/3xAnYYYw
RCKAFnLEOzEH8t3Yzau+PsxJiwaaQMiIdgrQE7Am9NnZ4yOyZQ7/9KIIApCwGB6VKWKWd79JST6c
PdAu4qLRfLJQzWdFR1pyhE5tarBy/Edl84tfzM9+huWRcbE3YYzB32S/55JECB3LHP/bQc2JtiHs
4HXMtG2hj90f7urvb5rFz1IQFIB6FD/D8uc/vGlm0Rp1RdP8kPSF2V3ZRk1vDXIkcUS/v6N3ns+3
W4LwwSmSMtFE7fPuoUWkl6ZiFvmhs4nXjvtFod6PcXSi+4FzODMtE8QGgco+W55qrzLVW/Y16so1
G1H82r9VfzVZPgjH+nDe07GlPpRvteLvP+rfvhMgIvy08JobfC0w3n7+TmDqQ+SqvOSQIdJ0D7XX
d9djNXJY+sfXgWAivomjBEran6/jEJFAF72PD2XIYSCQrglRaclh/WaO+W9T8A9NQQMbL2/pf967
v2nA9y9yeil5Nb+UXdJNh9f//X/f/5vvim9SjRctNUQIA67GG4bmu8cKuRvRKQvaBIyiAT3oP41B
S/+X5wPf+KZaw+T8g+Tb/Zdj8cPyoXLwo+ZP3mnYfqdpE2+sh7+2FVqBC+uGhBcWCN3DzmX+/PvJ
DAaAWRaXYAhBpLNgKneLRKDYlnOaPkVO138UXg2T1cnJW8DQSnrhaDOkyRqQ7YPp0wuT3Z3PmA8J
Mbm5j1XvWU+mKt1L8g7sh0SE7VkhXT9MqDk+VYlmXfYyGml5y2jvFABv8OAAp1o3Rme/ZuNsktrS
9N0lKlDzng4Yh/eE8/rXaarJ6PSc/N7MDcS3PhLiJYfxum2sLOjp+yGFc4pDVHvRyqnD9JE+RXuU
FF2PhHWlZyqwbUIq78rTYIaXRYOfcaCvh/Ady4yLL0pknrm2UrIdqxysl4gEE38mMdGlT2tll7RJ
FdhjlgdW08O+RIGGWFa6TGjwavas+QFR6YEXi3o1JUB8bOaYZ3xeGmEGur0VRTxc2ibgUubw2d3Q
6d256shOS8G5XTam3VJtEXnits1wm5cEcQ2dD4Yjp8jKenEZ9jKnXzhStDGH/2hIG1CIVg4ErJn2
RjObDDeoJfdiiXBDjoNquu/mF79gOEU0Yb1lfNMHZizRCsxuvgllR9As3oKHMKu/sqfXIig72SRU
9Zn6qHdj9NgNkXqacMPc+2EffjFmG6cW0xq4eTjFKJQnnWnYgZNt0W4ZEukfC18wHbUpsGukI+74
TFqKsoED2cl16Q3hKfGK8cLneL+RtaJBYzPJXWBGvh9w8J/sNb8RzVtrdo6mGgFlefKGvvhqTERP
hINhUqxXEMFlW5UnCwQ6kbgCsOvEc7GbQsey5n6dRjLe55hjljY61jnLIyy5Wtl9GFOHhpjn9x/c
IU0emcDjN260W5SC9UU6KPOrBlxuVeipiTCwb3oEU9E03phm+hrH3rMQbniu5SyXsVx4YeaWCHpV
LjmiaWUYy0mb4DKEn+I84IC7jQl4CJK5nY4jIqGrovZ3+HE5NZaY9pUbDacBHMaLbPt5P5m22keJ
F5/kVC9KyXxjRmO4x2bkI/mjvXqzTPyvVKem7eQ445HehPgYW9LxQEsO2pObiOQRsDF8xEyBNGF/
elEhh5A4JsKtaj3vQllNGyS+AjwlbpLRaG6tYSzWfp8PL5y+m0cxWvFOVr31sR7qiHpzsJZpYwgY
tUo4rtsE2sQB/2p9GbUYS1e2ZUcXjAcXZrSsr8SYkAbp1fWHEGdny4BX7/dmQ5+P6VydbdMQhMWg
Tyl5sLZxG2mFEdHVLejUWnAUAehUfF6d7jFdVkM9ojNxjwSbToHLoewcuh3dvC41r0i+aM912Rub
DtroES+3pClDZClWrbp2zlkcJcMmzElzpPtmfPGcqfuC9bI5mwbVOslGDdNWYcKVH5hJ05JtWxKi
laOrh0TGZbMzsPLk8Eb6zA38yfCDAiEFyGCwEReYlgm668tBnM3S7TdVbulbiHhLeJTb6SLAEeEB
K0njGlyLOyTbGUvgZecZkFwkS/FHxMZ4H1Hu4r7IxNJAmLArhgGCHJQ9MnE83k4s+acuGasnClZU
9iR39jcjmVGvLbm5IzGIkflsSyKFVmXdxh+ZsC8KBisDbe2WjDMznBO9+3EqbTQosWZ5DwYHr0sO
feqp0RG6HRMCeR3Gx9V00JQuyh1ySsvAnZBoiHhH/JadqN2nHkUV0Ry5J6/1JZzRqqZl0UZczMKI
7J/+dVeOcAShKuw8U0d+VJo+dP94RKCVVSM2WkYkNMWYnxX6PknMWq4tXWsuVZ42MZQUuKObyDSY
wLeagkswEYqcLRjj6i5xBqLtlDfT8qc71n7SkYMgWugdJwYiI8zuro517cKVc7HtixoDPyPaaFql
ALnv9Cgj8o+GTv8xkZEj1vT8wdQrqCvJJmunGKOqhh5Sb0WYoZ0yYExT8TIhRpl0JP72LQGrbmmn
JONXqTnlBxQE7Q45w5SvTVvAx2egnt8mmRt+6JXfnnPf/tpMmnwRiX9rjyPKtFlEHAvHvHK2SNn8
Yy/68XmC0ckgCJDHs93rrYcZOJsOuhO5IYrl3NlFKA9vF2qRdx1loYa8l/QmVHuuVFs/9bkB6cbd
LgNaYK8cd3IUsqUifaCVNsJygoaiM2hrGN+g76vxbiuiZqX6YnjsKpavxm7NYVLf4EYWZy0bWgTb
NtJ2gAC9OGgazdKV5EV4quk/A7xmQI80xtRWBSQBDJ8xoqUdud4D8LPIeOjJgDxnheC0l2k6eVQl
vd8n4Q58ZpfjyBHlElaheV6oYS0JzMcKWe0Hz0kL+4BbZ6rXoVsogfnWIqZJ0mc4ZSUPTrNyo4RJ
0PIBxRDlr402oEsYm3S+LLWBN6YLjfxDWub9BWuo8aIb3fRB6Z53yEsbwUTozilrb2khw+evxmlc
jf1HjJ/zTTuQS4lYzFc7prHaxyZnhzInjxF+2bHpDaNA9Fb6j9FMooJe+/mNbdHtC9QoUNl3VnG2
8jJElUzX5guLbneVhjYqB7Jgu8dhsKcuQBpTPcMmrw/wKOhNN1Zt3YkkZnDEqqh9KumSzCtaxFIH
dlkSymWGHqUCyfL5SxITwbLThgHtMbMWP1ulSSWbHQ0z/akrJBmwpV5+cWPbKz4g+EeVKSfl3qYI
aMHPKJJj5ZDOkDaRzV37scFEowsdk2yuSKiLsCssgt1wnQJEhUvYetBfJS00I53zTzwrYifn0asf
VduxCwwd+7ttzLeZjLUac2yFIDtqDF4QNGvVjeYSnMEEUdMfa0gfpLf1tnsa4hlv0xi6brTvEun3
MDBMIlozhGCEKsWiu0Ifw9WVa5INY2Zx+BQ6Y34o0H0hQMn5Vhn71Y99Ozo3nUp85mMJzz2VDJNp
Ic3nGVw7KfKe3d72Rl7fKvIeuGcdU4PDwJM3PkqKQxJPzglBp9WsbXY4fhlicmk+9sbWqIwek/aQ
JZt01jsqWoMeJIrv9MohdpSRlleaaAnd6lFrfETzuJB0+Iwj34ifZw0H0ZFvqCYLAplV5L2QimB9
RnjCx4r8tEPFOiq+33iKAzAl0WePenbv5L3/mOgJ86650Vj8OvMyw/5/JscrHANN5POOFDpCUCy7
zgjvNFCUFak+ubuKdvgJ3ph3Mdqd5a8RaHdpkCRx+4z+Fxt3Tr/0a177xZewT60jOT3Rp7kzl5CC
dvZPOD4v0Y/rh2lGVfSta/TfQ+MfDo0WyZi/lZLcJVmW/KQl+f6ffDdCef/CZOSzb2BItUH0cPz7
dmb0PGQmGKOWbhz8Ov75v6UkHnoR/gHSDGBYwlyMy/+Wkrj/WkgTJH+CdfvG8vgHR0YDucoPjUjI
gfRfIEMai62KN0ksLqkfuj0hJX6pStPc2wPnGjQX6Nur5GyHZn10R+ICYTnUAS2/Ch9xND4kKiNc
yih9RHhdHBh+iwuGufHnlHTHIOxq97Ys+pEQxbo7F+4Y/6F1uXRa/jrh/v3z8sX8+HmFNpEv5E3G
3k9ytZ9sIldqjqOgwcJAr3XmFo2vn0H1hbsf+gC/6L9Br/nDpd81Z2rHLmpZW9M+iYiqm+GzXRKn
7W1nXJmbtNeqYPbJ8usNWZBzJa7GQZIb3PhFgAKS4Vst5H6aMeFWixG18lGKuDK+MgmqPpg1355j
jVe5FUbnsEPcktBQBddY6nsk+rc1YzOZJ8scWyBCa2jfrmrw8k9Zok0zkArVXFdxwZrDRg98SI9O
GUIBsu5Jy8prszgWvl6dBXXgmcGC+hj3qlucFtUpMXJzMyFY3Mq62+jl52mIdXbZCKdNqoGri4cg
UobOMIQhistkaZdbuUepGyWgwfvPqfRboEiV2T+xguu7GAHjdq5KkPURoTYyZvRfmekDU60rVMw3
DU0GrKKByrUnuy0xIOVpQV3mf2hnU9sJv76QDEWCKcZel87RuShYIWtcSoE3pXSP+2RnKSYkg+e+
MCydg4EwQSZWENsH0tSoWa9GPRbbFqn2BjQ5odKx1R3rYYTkiMUMwURyWYWztR0hTsuouifJ7RjO
qPMjWQcD4EpTizC0NQwlQ0H1qDdbpBMMtkBqbxNCpliqPRw4itjLcpwyjhJ6teHG2F6SujsIBDTP
KkKtwRy8i1eC6mWP7PhG9b515K2hCdJfhBNBtlgyh20dj/fjoA03YzF2EHjtJeC930KVqvcove6N
clQbil1ycEjpW8UVon6/Bx05WFZ+8mMbdRBjnNZzwoNXOvquS+LwQL/CW3tmFW8IdKjRkFMr+329
0Kas+V4bm2ODZUerhmGNAOMAn8UK8hinUdLxax7JH9hCpMGE4flqZWX9dAEQXV+i1JOdPhSf0F3f
d1m3lqirdk3jMSpkbqv7QevgMzdzvkuhbEF49rB3LMJXswZWRuniscwZahg5k2Tlo1UffIHRwHNX
BYR4RzyWZcucD5PViuYL/Zm8T0lcoIsQ5mkAWVeSMOqluyZXtyR86RdaBDuDjACFThVOeVV37sVU
1dkdzR8tmFx3Nyr7LqvEGGTeiM9nimGT9uml42GImmKXdJOqJ2Mx1cFmaeZOU3LHJBYBuhPd9rga
oHX6F2RmH0hZvE08VNW4se67MbkghXvddfHlQMW0r8QcKHdg6Pg4582V2xjtmqHabRzX3gMdnWQL
aWlDhCClBOlgTiTPMjPJ4SyZ3MuNOfrbJi4+60a56WZ8ipTrw7oxMcczoLskmo700ZleTdrcJNgL
ISlfjS5h32Fpngun0cwVyT/uFg8aHmxiBNpPNB7plzelfje207Y1c/NWa/GhhsxGeLeH8fNAVwL9
taSco37wX+IcE6XObR3GuWUwytlnWqu+t0BV1vmWYzfI5LgHQNlY5V7WjArMjBNEDU8Win4mbrzQ
JF1tyObzgnXc51oUHy3WRXz61OAcFdesfupi0lV/L33SYubOJgQ10vSdio12D0M2mVY0HfUTR3v9
4De9vG1gplwzAaj3SWUiZVQp/2JaxWvSmWLyH6V+cprwqib5SJp49oST3U9l2h0zmjj8BO3HHh0+
TSo3Q90XcQwyy5Y2G0Rus/F61Lwh7ls7z9DWE5qHin5eAWxNDmQBIcnS5KIwS5KNqxPt7FeteMKg
cHTDmfWOnIli9tJ9qbw0QH0w76UCaaoZ1Vc3Kvc6veYd4kZzrQ2o3Fs/+WhpktTbJLxxaUWujTgk
saUdFZFd8bBBl2EcijotL2cpbv+wjy094Hc7KDJU9n1I0BYy0nezDK8qVVq2s7HnDSalFJGrtrb6
FucmeptAk5CEaQVmdx1j8X1GstwlYy5aOLhVLvQ0bC581XE0aqsnB9rgTaYY22SxXOCPRllekjqC
fdEg/xERRLRPwq7cm+PYbqCeszCU+lE2urd3a8hHUJVWWtdW60IWN3wObQNY4R/Nzd4Khp9ud9nV
fyhwUjvPzYqkgT0uv/CWjhA+0ckj4MsjP+f3X+3PQ8jvl3IZCCIHtW3PeTcPNBShMF02GuTQuF87
NycRWdjPlqfKQIr66fcXs5bK7G/P8YerUaL+eGNaEhYD2hBzL5Lheu6F9cEq4v6QqujVSMBdNU7W
Xffgro5eZ877ThtRoGQ1tlUOaGc/7fcpTxJfXrdDojhu07bvjn3ICx+hpOPQwSPMBFCmuEtFQGZb
ea0TQYOZia4avmL+NlIG6aFogLjYqJtly7bZu39/nz/PPb99qUA/YWVZhkvR+25UjdwSRU7WGvvK
r26qpHD2JAQiYIvFHy70LlHq71d6VwrD+i5jJIfWfoh6DmehT3scNhNzi2pdZs4nx0SBMwqbsO2l
UqhdVQW/v9flkb17pFT82KjxD3k82uXV/eG3mhU0KwncM/ZOI2iiEiu8Liwzo3RztOtkQKuKCwYF
zO+v+qsb/+my72pqs0N0pVfKQsCDgRR07KubGezMku4ZkRzasZzGy1Br5TUO9mrjqi77w43/8iPw
kH04nR7hDv67RSnXjbGti8TYWwmZwy1bYiLaM1P3kBa80FZ57VyB4KPetJxnVv3vyI+f8BA/4iB+
8er6P17/3Sqx9PgqcGr2vsv7Z6tNRkBvoXUsGoeXWIv+oFZYTgrvnzO9ZsEzJg+J//35ORP2pMmu
8vS9sLAUGQpAT9KG3eb3z/UXbw7f519XeXdPraVbQy4qe190o7FS3CC0CXvT4VP7w+P71ZWWW9EX
2uISM/Dz/Ri135fz7Oj7OaQdojzjQ+74B97bP9zRL38mP17o3ZrH+QPVHGp03s7a/ZIoGnOmS6ox
JKRVMvXWHcgEtO1o5OMrUro5CtRd/Qfi+S+OzDYDYJNXVCd+j7P7z3dLlJdq3CSE7uOm9X5Wcriv
TZt41WS09rU1PlS1nwXREMFAHOAYMdXBCt2gVIbC80KWJ+mdlcbuQHVRXkAo+uDAz7g2EvMxlUjW
f/8rsP7+Y7PhHOA9oSnBJxbvfgYapsKwmCUfLeovykmg2Ix1HB5zrhNaNZ9H3xk3da/v+xbheKSY
83EI1bbJCHVRiJJxSsHWQQg6M98y3DAXA7/MmaYl5nTFIeJrjTPyQPw4JZxlX5DtwYgXGe9qmDAN
11pCHPdcUVvVCxUw/wI02YDD2RQIqAf7hCn9W4nz30bVHxpVBq8grSIe8P9f4HD+EsUv+ctEFfWD
xOE//+F3+5OJyYnmEmEhS41o/0WSxf6EvsZxHBpG7vc/+XfPCs8UoHQo6a4H8pD99K+elfiXjsAH
uxL5I5BmSXz5Bz0rfLY/rZ9g0lFdAXVDj+PZ/GVL4M+P+2QfxrjwCkS+0pd2xDQSXyA0jhmdpeEn
McooFDOdQzrgARJbf2ejxuQkruh/b0m6tx6aRb5ZflNyflN1vik8xZvas1iEn/4iAWU106EwaKK7
tkTpWGv3TS+KDgDtaPumI9XfNKX6Ii+dFqGpeNOceiGJVi2zZawlWt6t+97Q7kEeNBde79IlsTlR
EDCCc3QRtDald6vPkmM5WtdpEb36WY3+NVuksM03VeybQpabRRxFj5h5Ig37E4J/TsdqEda2fe7h
gEJs6/ayuGoWAW64SHEjgSiX2V6yJ03RX5cabth1kU8Mn2PLv/cqH0kv6uFz7aHjTadiYIyE9NeS
8OTpZGPzjx00z7ZZPw4IflELvymHGzTEyBhpMKg6mZbcAhagk/mmOFaL+BjbJzrkqKzs6NQkXaqI
RBoGC/Tvolv2kZozqjfCJXJdW7TNRKqjc46MRfOcD75m3MyG8Kcr+aaLRnCDRnrWm1DuMw5j4YET
tTEfeh2+zzEcUHsHFd6QYcMQUcxba4jzpwHGA6fRQsLLMGbP8/BOmDamjN7MJibw7dBvQ6cddkx4
41e9osW0LurC35WyNx4FEnIZRHoUbenLf/WJouuJErqmDDTR5TLTh9uj7TXYek8uQwOm3OG1GkuH
pp/qUBCMhX+28P0UIGRv8BzoW0TLdP7yMB1XjdAVdq+yfbWKwd1XphYniPHnxAjySm+Y59fevXBT
+llwOJwpKJLOu8sNbTqpMFkoGolYIF/5XZdNTQBvjTTWqoyh0FrVUXdLMqHRGWz0xDv2clqCPI35
PiSkejs0lTguYBs8XGBiS0O/ijgAw/Bp7yY7JXmSOciVFhkhfnsQMCtEEDa6FTkh4sR7CK4YQUnE
9E3l4K5ML+DvkjQx8uIkGxvgEym5ODBsNpwKyiVKAbOa1Gryk/QwRZmqmaz1QdEbDoVd1B+iQWVX
vhcOHzuebcj+HdI3icxxwmmM8FjH+qUIVGSKD3LJfRyTpLhpJrqKpDdvaPjOj2QRJq90bNRGem59
V/RRu3PjPuV7T6edQyPyo8tI9YDjuj/X3fQFmyRQgnoyi403hpx0NcC+Dqff7ImERedOVZORcTDP
3Od66ox2oxeOfVgylbfjOELaN2trgz+n34ih6bd6w/xu9l21lpil1oVhZducVIu1LaN8n/vaUUc5
vhaqYGIu9P4p1FuE+22UXyPtbI4tp/1jM8X+1QLhe7HVEHbf6vz/bot/2hZtpLO/2xPBUb58Zlf8
n2v58vqljX/aGr/9x9/Vfz4hdHBbQaWbtvfjvugKdIHIAf8DS2cT/r4vWkBihTAsfQn4MM236vj7
LAdh4Ftogw8OlPdk+aN/tC/+fIphHuSaJKoxZGKntWC9v6tMTTefkWB13g7QGQRAt50IoPZp4BKd
3nxmosi4WY/9R9UIb+csUwj6rV3gqjQ8mOT4vCLDKPeIBrBoIf3tC7/Y2UWXPucSlmsFMZU0GkCq
n5uOSYvfNu06V1N0qZHPfesR07mt+vLNX9XJV78Ml5i71r2tNUEGa6zXNjSLqiABx3biLa697eT3
Z7hkBFQAsUV45XSHZo4OjgM+ZaKzu01q/0rvk2Zf+1H/5ESN/5ppDq3IOJ7CnYR3vrVKAx9Rnubj
awRy57kXYX8E3UfcrTOSndJW8R4FPtZXUy937dj0UOPysz8l3pWFcXIzwe/ZV7FuBA3AgpVqbOQs
fTtfE38Rb/wUSxCZr860A8VH62EOk/phmKvqS9IkzrnTNetI//B+bnUf3EvrXVsuiyA4AtzRplOR
fuUlFWE1eSeluwnjFmHAkp2686ZpXHeVmT21/aQfESB2xzIzP0s6O+cwSxLwEw7jBtdr7/K6jg/W
1LprLZx1RhKZm4ASHbUPZhh5F03S2qfIa8NP9cgQfDW2Qvs6MCs7F0hSnmgTFWceOPcpsOSGTQn5
U7cvFXJO8kAJrVhPCDc2oe59hXkOA9CJaXHnw1AwIli8KMy9VaEKtuDc61EG0rzmB2/zRWnlnV2Y
QNHn0A9ir9efhggGduOAV/PFUAV1nxmLbLLdYwtqAkV07c6LaOFivxSrYRBDzbHDSi+EFj56SKQC
kRjFPa6YbjW0qBC6ObY+kvMOH8T0AJDYbnFFRFzqrqUHxtUBv0czVxWBS5qXymjmm2hiNoWIv5h8
JRwNy1pcGsaQHvAnr3jo+qnu9OKkqtl/FbUdPYyDQbKvsorHaTTzo0do470qgYOsxtFvUCxqIJpq
3bxBnaqXa83XCIGsbCZ9tuzr19Zur3xbamuDDLItnDvzcramYpsqZ7xEMdXHK8fkV5vofv5AXpnZ
BCN+j61GfG7gp4ZO37Xsn2cRVxea59W3aJ7cCxKQvO2kdLmyxvS1sduVg5JnVzPPeMzqkelggahJ
atGFkGTuKkF074iw5cHwJv8y5u66tQDeCINFIU9s4jQixkmPrq3ZsBfQpBXzls2IEUtFd7u1yKoS
oT6t+yk1yEkU5WdvzmDd+0Jr6J9KeytxwxPOnNFwrD63xngkFomsM10Fpt5pW1mpczHQovca7Ibg
je5jgML0hc1DXS4mZ2pJ7Q/Nh3eN0LdVz6TfSiHBCYNF+N0BN3RTOnEtywHzMVj/g6hwdNd1Wcb8
HMv6hETLJNwYZkBbPuVjbsXA8KS8tGcjscD1lf1FNw/YKGmfBmVc5hc+MbnFGm9edsKkWD7BzpPb
1lUJO74V28Wm66QerlD4ZLf+2/ucvb3bVsyU5lDyXjiHdlkXFHnhzE4Gyy43va1lzz9sU9ffOkY/
dq1c++fD/cJ+IHNiMVHAMsUd8j5VY9I6W/eySN8ZIrrzKS7dIrPuNG98xlRIFkAFIEwAiDq5snch
G/GMt94w0qxvZM2AVouENDZijgELTXOIFdMUFFppPnxB6RPdx8U4HdxG7TmxHBqLUTfFs3z2YOlU
MRUP4IcjIyVvjULic8MgfM1vq7gee08eELw3Aa5M7NtGGx/NhshPWntDs8lkZh3KQVoORES9ozQF
HBqqjMREZ0gYAI/Fde8q/xmnXvk8DQRrKycvP5nY9i8h7DWXQJHiLblgxa7qlPtEAzM8OARzX08L
EYv/627l3CdPqWHFx3FQc+D7nbeZC0fsVF/Pu8pR1gmA4nSIYq/DiGt3IVhnM7qbcJUNAKSids3H
VgjIs3ibgejeLei5bcYmu8kZhkLiYY3cyDaUjx396yCy/PoRiZYfNEjUvsKLj4Kky7KLnlEVKW4i
vUB0FznrvjXFo9YJ88qfPe3OaqEJQZmJ2FtA3n1p0mp8dLTKeRQuTfc4bOS1l5GQrc8FDVLDjk9h
o8s9Z7JDIb2gG2IvcCvZrRuvHbuV2xsInJVSN6MqsstBlX2zinMj2cU2qnqoPGOAiFve9SYnPkSj
iAYqw/xkA8K6r0K7Iqggf6DrrzD3zYL4p66FPlTotTrPltmdZtnFOz1ux4uSs9mp8DJri/ApObli
QmkoaeNvpQFzbxUVEBB1OdQnt1bhFTrQ+sbBlNDssOxOe1E4ecCkqtxICcDAH+bsuldxdXbGuQvi
tkRMF1n1EWqWfxMvq0jeQHBV7gG79xqH99Vk4v9GFNYo+ERaNJ3H1tHAu1GHp2wT64mlql3WrMhh
9QqXdcyKjPimAH/11VtWuGFZ63KJg1FJc2UPyeJJzcWO0xILI5w7FklWCjvol5VTLmuoJ2PWmTwh
g4nBL3Qlc1lvp2XlHZc1WJqoCUpVsebWZjM9leHgbU01saIbVXM7uE11MetG/yzo9wfVMnbLNJi4
xdvGkC57hLvsFkZu0GbLlj2kwSyl7V0Evgyb37Yg3a+xOPja1KH9Nhr3nta8uKIfYIdgFdnX0Dxb
3cqrjEzsWmBgR22oawbA7JO9hC6Xvu2gZR15n0gIAHgv+E0zKCXd7KLOi4E1tIPiX4U4i8PYS5OA
iHm2dJgqPNhJw2iPJX3YGkXjEmjV8ojct6phWgoIjUpiXkoK7624IBY5BUXoiiBe6g6d8jH0aYs6
RdyBVss9bxNq/XgBzKoOOC2Nh1CUHDzLotjVlD4knxTpIe17IuV6D2ibMfj2ugSDSAJInmVnYbbp
weoqiDJRYX6IK8e+hPDi3ZaTERYrCZl1i1XC/4KcybxGJSA+g6UarpN2Sh60Pu3uQsTALcf93j10
UayhN5DaGPwfe2ey3DiSZusnQhpGB7AFOJOiKGoKxQamiEhhBhxwzE/fH6Kquobbt8t6cRfXrHdp
lqGBFOH+D+d8p0Rui1iQoGdo7Yl1FZrVH1qtyR+o6eaUc8MUq2/fdG4lfIiTjGR57RA0IFgZ3fbH
1A7fdAESzPe0VZhs6c6ujDwD7u2QvLgxL5wke+LBNBmj6M4IGY59jxGIZPW+hWms3ZwFpqQrJvu5
zGpxYwTlIA7i6kI3WL8Aj4T9WettcbS0NAOXn+LnZF3LJjo2ZM/6fsrUg5BwegRjkgOFpf5j8pf+
p1VXK5dvwSxJQRpbu5FoIRDFqJWh5Bq8jTMOhD2QCp5izJ7pyRUSvXDraSe/GUY2cdN0gnUpftuI
cekRlfaUssb/MCbvtmAafbEKWBAT427mDFF6grKpJt40Tzwls5l/Z50DQljXHStg4NT9iNECf5d9
R7vt2sXWr3MAiCL6AfYNy3RpOqwvKnE2pc+HX3O7gqtcT580pmSk0xe1gi5CFRiMs7BvKS8jgvQR
OoJkoFqKlcwD1VlDu97VpPpwJlraRupZvfPSrtmuNsVvtcrt00Da4oNjIV+NDdwAIwgGvthdjq6Z
5LyAymu2HgX7FnsNQwxfnACufpWj/2OeajgYEH5pkKK6Orqt4/G0I55j4tfEd5wb856Th8I6yvW3
NcxY5HX5ZtjS/GY3Rn8Y+kK+j46TvUdKb//Med43Ppb5w9At3ytff7NEAQ0wyxxxdOz6wRTjY4YD
gaJ/6sN+msQ2B+i0UkNX2Z4+TL6F/r8W+rlFynr0BIMIPcqdE5ps67B0MtsaLdznVONzqi+2eZ5G
rcdzKaKfZgswKBZeNoZuvZb1SzVRKE89XL3E/tX3CQnSdqPthDGbl7Qt0zMzlXg+95VW34U2mC8J
/csUpvXU/TnkGLlCK1fepWpgDoO8tbLnSo4YSxZsx0FW5uUO5KnEsoIVx88kSBgtckS6cf1W8F2H
9LNIBxv9t2xPZlqVPD9oEKehiI7QNLIzNKKO2FYbv1SaaTB2aEcecwE3t2rdZTv6hdrLaJlonCxr
Dd6aj5Pvm3sWjkD/9ML9VlIJpuTEzv5D6VfzzoHqurOM3v0O8djYm0OaBdCC854wq5mntp11QRsK
NieQtTpmhfrAXfWwuPrX6jLcDkZkfHYkXT/iuON6lC9Eo0D9NpNO3c24nUHrpenyK8MTFFiJ91aS
MhVqPXf7YlbGZhzace/pjUKpZE17vRdogrGgvYEdbxwUPxzFTTu0HElDt4mZ1D5JNyphsWM51DYA
5LsXxhPLiwARIMNcZ9iHK/2i5wTeBjWv+VZUtfmQ0bIHWhSLByxA5lM/kqu4sSHWVXsUjNqzw1V9
s4xq/LLzH5FaNtUoJxGY8ZKIR6AT9qFNc8oirXooUWfbeiM2rSoiN6iKbC/SHgTrZNJjTErblM6v
GTJptmNoiZdFm4sqHH3X2Eg8Zd2IDYCC8NyZ8IiYlnn593q5k+aEPaMzoLGbGWGWMQLMsgLiIfUn
14maDz5fXF4olB7HxY3PRVLJbwT74udIC6YQocY9u2dB0X8sjhpfRelbH5GeO+8CI1DYwZ89KmwO
J26C5CKKSAu9JDMgGRUlJHvCPmDLH7uVbgrLxw16YD5PaSbFfdaj+TsUSDQ/Xlwe28WGWJYJslkr
UEkHj6X6wn3qTt+QbbMUq2pSwWEmJIfYdspjAQlza7OewADoT89mHxFBo8EcnwvX3mGtzw429IYA
TBFazyKat0NqTAdqSJ2s5Rptb9BaTJ+dopJHu+mnXVz09jY3jeS1Tan8BrNzkOn1zcGzW/8QF0UC
pyyFeJlGUGz4HcxNQyzPdpBd9q0Z5tUBN8UxsMXyHoMBqQLwXMtuWC9cD1LP3jDy1wJS6gkmRL/P
I0lBlhPqx1KUnh/v7Ivfoq9aelmfMs4MgKdzIbdOWrsmai1GrGGpcp7AvNI5sFEeDysUK0Noh96i
80u+YuggNM5RZb3NVQpQG7PiTxlX1iHJOSEiKFkb1bFkALdUHhAx8ztXFTsgL8/IX6k5zcaxIaEl
dyAW59j7jCh6QLy8alp/OAxmslw/xvAI0F+d2xK5g5lP1hZiMi4Mzw4TF35A4SzziQlftaF8uNOX
h6ZPSkxullMeCCQ/D0lugvcfB3fDnGDZppMD0N1MXXpzLy/IYnBc3oLIOI5tbcCLG4iSMFX1lUTj
qlrEVu5ZsxY2WmTIwIpwOVZVlv8yizr/qFJA9QEI7uhua4P/UFFo3+hVurOdgo/QZ8FkyREKHK1G
fk1HEt5HKSzo7LKozwB/iK53ZXaQWGcOxCMUe3toSZ+xKnVQxCjLCY7lBPgY6L2/YGrLjD1PmPXa
0a7dOo0QmAon3jYtmX0k2FcNPSYSMMvPtemcJnWYPd7PvvI/VNOHGL+8u1kNPgYHN3tj3WEfG5Zx
FzclnZYxpHNEt3eLLYFK87/vhc3/qhUGL+zh9tPRx/+rhARRmxlFtuXttXlWW8fOxM8W9jNCTcK5
/cBv6X+tYooBqFTgmlvsQfUGXab2hBd6/iHcRbbbwibJfIa2hzdknVcy0wF82Pt6b7ALWFApVr8n
nLroWaR7EwPCuRbeKUVnIQNFh6j9v5na//+UxSb+EjPz3+6pT8knxwVhbP80jP/7V/7VWgFy02Hq
zvUDqxNvBZvgv1orLFLWmAqtKIvfvvq/jeNN5w+cFR5fwGeBaG+HIfrfrBXGH+Rvo+lwXLREbLnt
/8k43v0XvgUDGVRV1ioT4dth/lh5oP+4ptZxHccR6vx9adhLGxY9SCsW1IwktqpHiR/qTiTeoUXr
xUa1YtVJqNwjzXJuY2OjlGmv1OlmeB511puB63TOjpOzfPCQwcAyTro7gYKcZkbNzUSWAaTxuUgP
SV9XRD6LckOo03gYfSJNHmbHG6eLoFE4y7iu0keHwAIeCwZa6WZtBQmocV1lbgG0FHe76pyZeIYZ
ZxGKzjVeuNErzM5uQo2C7g84Th8jxF99ZhwsfuUMLA6i7D70TnPAKunmG2OqvhEIN/lhHxlElqg1
GpKB7Iq3tvoXVwnCEU0NemEwlka0HzGmUveMgliLsSqtHW6agcQcq4FRly6jXW8U881r2hnYHvOk
sctN7MpFP5k5cZVIgllOBLB5I/eQrRm0B3vJqgpjvJ26IWEhGBxpjrTvxMz4PnvYOb3UEQjkBhzS
RTFk1APoUG56nkxXXzZeMXcVCjy3FSSytDgVa+Iuv8Vj3X8UZj5i0Oy7+k9z0ayvxHY1Dc+slJdo
SZlDjIADg85hSRL0ysew6MgpPxiaOd60BaE/G9PyJ4pNfNQ5rr5ii4VD+6Yae9Y2USNUvbcbJW6a
6URyY9pxAahdDUtMiORQvNRWMcyBDnKgDW32MjUYbc/4EpLhAVkiRvGxuJ0V7Xp8bVSIq1cyTVsI
lYlsW+5GF385ZY3mn42UqYAhCZ0xW7WGcWjylgxte6CZbu5J5unXhlWzBs8nK2FYAo7Z5k4pP3WI
Z1d9yDAEgvFG0o2w+oSuzdwKm2hUf5LczqnHcH+ZCUft7KYGxWrMuyTOp3d3juYHPa7QUTi5eptk
nb7blPuKtbw3wpDwPOrwbnk26mm6VTENgt0BjM9pxR8zbvgtAdlpaEs6ccyB/q7ne+3dghY+Msgu
UKrzgGRX+hqVYm7HpcXjoqXLg9YTP4yxMzoZRlcfzDLxd5Ulqr2jJ+VbSxsWYrp+FRaxC1i3JhZo
Eh7jecD1ZwV+iTC9JYzg7g+OhfeQVzr2urdJvVSdESfoeKDS+ZUqRVLO9NPJ6ggkTdwFHRhoxhly
JbMmo7R5/7nU4xtD7eXJMgdCFaAqPvJZt/bSzFy5SUgp//IYTD5RDpqbrHeM5yUelzcNPOuhgALq
78asocywJlm9Ueya7+Bj5Vted+T5Jm325hrOkQKjP9g53zvTEf0zge3EjbV389HA+nmqcO1/YsJg
BdSYrv9spr0eVngA9DDDMkyly5mSBxODze1oYTXi8jY/xwXfKve5sl9Ns4kf7aHIsZjiCZnizH30
GO1+zyAUb5PSiQA1IrK4W54LuVWmKOVgjv9yVeTDk8W1LoNOc+bHzK3IkPD1TH6xJzLe1g/Ci7W4
yxd12Cg33qgXr0uju09zOa2hGtoQTAl22RBYy8jrBLC9YRZtfBCXnmj73p4qWsiiiK6gsPrTzBlx
j6Y0/rOkhyfTd5jm99yvWDMpjuaDBXaQmHUrsr7ytoahr1jMo6zJTfGCDoZUo75HeLEUTnxvy7j6
ZKTI0z9AfA9qqCo3HVu7GYLKZAZqeNPFMeOOfI8FPtwkO38DM4ZqPY2mremx1AECToXYzpDCbbYn
gR3ZoCp1ICWbtmiFsakMKBIFSUPNFiZjD/nIKsagznlIpHDsNETYre4sM5s93TXu0IG15XOW4bkS
kLiOeuaLM8OC6B4Xtv0RtVV+qvQl+q6N6lmX5XQBP4AIQUJveKK7zstDPcJyJOnKZHpgocwgbNec
A0Qn5tEgmuoicq97KJo8IW6GXMLH3Jn8K7Iv3eR80HreiMJenmjn4/Fgph1TNT0tXpIhdr6bGeKM
AVXk2fAS/cmqsvGU2r64FMSWndK8L9lP9OAV8nzyH8tqng9DPTknWLUayWz9wDwQeB3wq46iX2Ni
A7UQvIPfPPAomK+CYccTm8f4bHaDOBHjUX5OqvE/CRDp94hE+J1Hy2p/GV1HOmSdmi+DkbITsCt3
61G4XuK2lT/jKB4/icBccmxfTsdmQ8vBQLIgag+CylAL0q5gsGRUX5ECIRms1caBtA1yFBpLmzem
o5xjF031JRsZjNeYflBCAtkI3NGpd90yz8ckGXJ81bZGCpjulXIVW3LfetJvrn7C8RI0hlMaQTIO
4ydW+QhxUUkLkICP/rIGAhEfjbxPkON4NlhLHPzVQwRNixSldH5q4VqsBa9qn6raBc6nagxnRpm5
NnhErjrCHRour0HkV6UmHOUYB08J8w/QBVZm/sKxT0uGtmXUQ4Yk6dl35tHfmeagvwq3SN+4s0lQ
hh0H7MD16+F75WjOuSg8uYc257/6SSsYMbS/SeRZXIW52WvnImV1fUwHVb1YVWOpoOlUdl4wltvn
pJqt91rqYsJ31h5TJQR9jarq06DG5tzRNd7BMpsn20/yHYMxdq1eDBO6XsbbUineEJ9Dd50Jdu+O
39RfiTcs7/rYin1BjNpRLR7cfuKh737U2OzDENYHdE/ivTPbBFv5aFEOwXQAkkjmmXhIkyS9FlGT
v9e+IR4o2Bp7z+acZUqjfEx3c+99QCebgikV33Qbevcs8mljajYf59hm5cS4bWWg5kdARgWDaksC
6K1c5b5moJiqrSx8ljJEknxUsT6+mRydcPPMVp7x9PvbpGMyGuSLOeGgwcchYJAe55lthtk1Yg+n
cJf2VtIESJfSENjd8H02Z4Z0aW6LkNya/MObW0AbREZ4h5bl/tUiuYdO39CHPyNHkZkNCqClMNrq
ch0oW+qzYul8YBCcB32XO2ej815sEB370R+eDXeQ7y1CMGCeLUt3d2CtsGQDns9JU4DooS8Xzykf
k/dm0idmC8NyIIhvKLeGZaRkjuI3OxHP5WchsL4u3pKyYn/DPTr/kIhnUkSAKSE5Y+FzqmdlpHoy
1WSUhDFImFAnUZ6kLoKL4A70DvyOXhYfaSNG3kSfSJXZ5PrcR2uq0pL0+S37HbXkr6lL9axpkJ3T
F8JI3dsqFHlJf8c0YZKzjr099tARamKc5JroJB2yndCiWYdszXvK6rjdxXpCpEU6WC8jAOBVLcaQ
J5Clch5UqeuXUh/t7Vi2zCJ9nUVshaOyNBALuCgub8rr5EYTxtXF5XBFcxqxgdXHJ+jT6SVfg6ry
35lVtN7IQ8bfWVbsXd3NABp3hxInuxrT1F7iphzzLcsXArFK1O4P7UKxGLS0M2/O7/Cs5XeQljmD
gT2j0+mIsmqFt7HW1K2Gs44bbHbuuFfMbGP1VIk7o6kKRCGa5wNgN8nwyqCxXEei426x22mCp2Ke
mdXO03LyWjLAlDDEq4e8kxmZS0SYXQ3iTYnaeeKwM+ygbPTkgwdY31kzKoqw/B005hM55q7hYzJ3
Wk5UlC8bf5EeU1wt+fLFULLzG9k9bHLqzWOF2gQJyrIGnNlup/SDXHPPLGUxymW8blWcmjP2zh7M
ix7EaD0h+eok+jAFiS3CJZWLWw8dsUlSiY3yXrPVcxVj+w0xRDH3J/rjEXBW/1G7AqwuU6/qoffc
sGE90YUq0yhxZntYebCi+FA5vleCIpEOPyqcQpCvm6ZwNk5CUASLuAi2A2gRQLGQ/ZV1mKRhU2ny
UQZzZfrvEfHHUTC4kY89nIwdaPE9ItqTViAM2MhqZicmFuNdKWiDe/i23tmfx3EKMzNOX2vNK+en
Etkp07qstr8U8sp6L5uynXeR3rlxoLse5I2CJMHksbNWRkpR1KBJPPggXHoFHl4WlXeemZGwqpKZ
fJfg7Yc3U567BP5bX1bnCeDQO8eScxds75igR/65GubuGZOzyqmmlndW4/j2/IQhKcdvhv030QuW
xI1YxF+GOv8rWfx3ksW/CPIZGPzflfxrSH3xrwOS//y6vwr5GXasrqq/iGSYdZh/m4/463zEFDZC
QVKgXX1V1fxdyE/FhgfLF6aNC2AVnfxtQuL8Yfi6ABaxmgOYlfzPhPy/eZZ/N0Ih5Hc8y/JI0SZq
hfB4818Ei4tH080CvjzOKY7dyv0k59Jn0dqW14Rb55IWPQw7rcRSk4sNC2pt3+hT8TnZjvvA3sdg
5+XtWYSx8JTjrbLYl8Ppeo3tEpxM67vERrEqDWeS9EYSvp6GFnrCSCTlZpR98awSUucyn26XnfJH
Nigy7cTDrMjm9px0m4ArDLoheurZGAomEoASwQJZWQTxLfJ27cAeDp3UhZ2e+HQBKezhwW5VbYog
9/zlAYoN+e1jR+VaECA8sMTrNeI+RkVbbBJqttieQbZaD86twfAbTAQZcl5rm9qHk5DYB/6Cv0a0
cqMsLwimt7My72npnOsWNLtJzERfm1+OkU4nLYlQJ7agpfYsup9T3ttH/JLQ/RdN7gmdeoWJwMB6
vPQOb6bfSYtcRF5yauVX5j37df4Mdqx5sJxe0YHXJSSw7qc0Z3YxbzRDmD0bOu2k6U+2kRRX1Edv
wpk3RdMzOIVBUdoNVVn11dkwGXyR7bj1N7C8g2rOXho/RrPPnqF1RzpCKQOctDEphdkBBvkTg45h
G1OOvtJkOUfLLTElmdMmzevtLHveGreJD2UdJ89V2d4Ta/ixgn7IkbILFNkzKHmkpY+O1ZIa5tBI
zhG7LsIZsr3XsY0pAN4eTZybL1ZZ3628sckBsOx+k5UJSLEigqHE0EDumXnHj5OAIeK8WnqGgjQT
1W1sGe90w/AQ6/Yj0SebPBfvcTFfYaXPYddPNiNvrudWHbWFs5hMpzEe2zP0jdmZ4R/16tq23Vde
PetNAWPC9a0Dk/kinKnWt52xtZlu6KDlg4alHXnNq4jNbK6ony7YcClugHVjYaChYGGp9NeofDML
OQXQ4DXUhOvPzo4NEYRtIfVXk2lP6M2DQ4scmGqHrk0RDj8a+4bLsnKMTzvSUgQp/leRYVPIF/Z1
JXb25mbR9AxVtqlz894uifExIHYjfbJOtzZZGs++qHYIjGmNzdmF7FW22iMKTedmjEu3S30j2VeW
5/yULKLOXZun3KWzI24FjKyTFan5nNmtR7Z7QzgR0/SzhtnoWBltfyygCb5nFOJD6PUqvaCz0Y9I
bgCnuC2OGhe3CB9VdbRqff7gRkK32oz1LRHWcHTdqviek/T5vNj06YWeE9cnUQskovbP0k/FzhDj
uOsMIz722jIhVbTLlwUe34sny/6U0RO/cp+qXTOYBOO00m8/SRZzKZhX1OfoOw8AdeQlH7zxyegr
68rwpj91emt8GFnRb924nmgtabsbwsSObeI7j0tbJ39a9oSFQpVz+0uy4qZSHnjXF1asD6y4x4sD
1/BcoAsxQmgc+s3zJv0+WkNzNSLTuJR5nbxi4PAfGOe1Fz4q7sUC73dhwNsxDWDHF66S0T0ol+Lq
8wJxbXfzU0ZWdHX4h1vmvxAdQij/J/uVh8IS+Tt5wBzcNHMMUv95rp3nnVtbCp22F8fFVdptPRwz
NagrPIhq00cwNKSBEXQ2DarqkcimEfnO1pm0eGt3/asYlLaDT9XwFGSgdDpl1BsnTvHHQJALEzuN
Pzo4LTQQdezcRKVnZ+S6Vzdiz5k2/nKTgqWTHXnFwxwX/KGa5BW0Vo0rCpCImoYyHAzlBMnsvGAa
SQALjuUjTBI0McTJRC9yHAHN0NWS3qvcpWG3V/GNAxOYAXM7V877akkiwlVpYdi4l3FCxDDSuA/N
QANAqRjXqCaN6tVyE+9DmfGJOEf0vKZ3710SkVIGx7Ml1rLOCZvORY2vQ/8jbe6iWdiM59JAyNRb
dzl1F2ayzxGquVDWjIGg01ETplO4IJjZ5viGAktDboFKf2YHVZ7VYg/nqK1ZqvH4p+lMEKyKd2MF
VyPD6oPwuSQjahTxz2RwxlM1wGvV4hXlwzrkWs8Z4wWfiFY3ybO7XESMRDsur6RqunumJnyUGB5T
2+kwb0dJhurcZ+pCTe7TBevJa6LH5iVORXPNHV+/EyWi35Ic3H3op6TD8LeeCP0Q6cOod/6DwTZy
DLwxUb9gYaDcAG+e/FkWdRVObTTt2vVJIYFSnL316THX56hfn6iCleEpIRnrmmvV9CSbtLnYesX9
nKjhKkeuykq06rOZidpgR2erXb4+wf76LIPcmF4ioohfWMlODyiH46McUL826zmQrifCvIziLO06
D4emWj8HjffsrWdIup4my3quoH6uQ3s9a5z11GF/T179ehKl65mE+00/5p7BQCUWHFlT15bvrbcA
YchL/yi7EQlC10Mo6YT3mRXmfJaRBh9f5O4tKX0ORp9/faYAET8xj6DeZi6wGyRB5Pxr7bFvUIsS
iGRv0xT+fIiYmImKHrUEpIN7o0IhM5SX7fk5+UwmbrFxhzN5yjYNwow1Nstq50NpJ+VwrdzMY+HU
kPW0uD7iDdOfHP9gMPrNTtWiYvlO64egnYhr4qKyysq7A30vMVImPfMU1Cpd46U66L1b8Ij4udA+
+VWgs26waTISMkn8eWribbk4TE8nx4Fb3NqiXLubjKR3ssEfLRRBD148OWBPXWNX+BZkkAxwrAJ1
kqMeXgOxGpGgHARuwyYgympWNeiGfliDaFZQ9BqohZIn0bb976CtlYRYhC7H5relKNhxLL8Tuagr
SeeaWqMxLkQdmHeEVLwvVfPkRjBJAWKPW10BqOzMiiWEp8Oy6l674SIWq9nGkc5Y0ZcPdgoqyOy0
KKRGRY3ZpqvzoYcVCL0pwJaCRrCW4JFslyC+IfsuWSzv5mz8SSR9EzIJDz1/Nm+R3ozXuuMZFar9
kbo/ikbzTzN+Sc4bZgywoceLVTOXy8gyc8k0Q3J8z2rg9xNpZ8Yae5bgeYUo2hJqQCTFGYcre4A6
QqqeWicUSXfk3tx5KYmUGvf/Vl/kz2KNVeNvxGR7jVprk/HGdf66rAlsjj0mR1DFTBBJmzpnOUKc
aay7N2iiJG0Zzfzl18aqWI5raYWq7fQMPWFKs/n7TvnfPu/f9XkCtcI/XL//B4/+/NlWn91n/vnP
a/DfX/VXT5r3x4pc8DBD08t5rDf+1uK59h865gC0kxgDqG7X7uuvLZ7h/QHqz9exUfOtXHDx/9ni
GcYfNHYYKfg/Nv8hvP/JEnz1XvxDg2eTxOG5uL4tkPgCQeS/eDOEcjTpdn63ZSh+YA34KKL8ixZh
N8AQISzsaajzrwaN2b9Rg3gur+CffzIoEdBWfFIFK0nzd4TmP7BUIGlba8pqvxWR3/4Z2a4e9MgF
2mB0Buo/E50jg1KW+CzWU6KQ4Y9gcSjAml5TQ8kvXBe4s3LE8rQvOdvI2psR1Jg2BOUmhdq7iWPm
mECGZ+8G25xhSK8Pyc5yIjNMWqveL2JwT1rckbTGDnGhCWJUhmAQT5FoH8e4EBthWT8ztqAkynu7
DLR/2GnJELhNdZ+B3gVdrK8eU535DCZYe2qzuzWRxIQrabCuRq0Zt4JoxKsLPGyVo2Xj1fKyVUHM
z4vmSe2BQZdPQB+2IJMv7PDUA+m+K5IWfTtNhj5TQeQpXzzOaR6WdTP8tIRmv3aumlSoeiN+TFFe
XlBjO6GRouk3EfKt0EWi283OybBTZfFbOhr+XTjDhGwywdFd1HtjNPunmQNtE9Udgip0QzBtWlvb
YfewMIoMRBSMmuq+oom7KKhqH89QnHX+r06OCBHmUWhB3Po6jeui+E+Tz9gmklZyV3WDigAOcF5B
kothAoJZXjWSXnJm4DGe0eFUF5NJdWhpjrhOKa2hni5pssX57dxQfbpEeSv9kv7WzKKCuk3xGMO2
ZdLMpr1xuxNcazCXUkbVvrb76TJkXrdLtIiArDbzd1naLedqGuQr/n23DxupgM+7llO/mUzDN9wZ
nha4uJ1ZRXqDX99i0yLdMyEjsuFzAMlkM1RQMGwlMfSjrKPb1/WU/XOyGpoLU8/JjXLjDoMBAax0
eoU3P/LvxoZCtTL+dDTX0bcxm7Ht4HQ+XdCoyJseMPWEfYvm2TG07tirwRaBV9U4DuNBr/NAMfTZ
E5hDMVPH0nkjuRph7JLNaLEBc0eQHTu88tRWxDjVFMPHqFSuwpbtyAcUv9139Jd8kPJG/xbrdDdR
58qfvDPpXeWV/+jmDgKrZi7mapvaffLNJqc+CVJSBynvIDYHQjeGG444fspiJphaotxH6YfY8fso
bXUS9NzQ0Nkqo3kcoE5tEsuYt2Y6mXCqivnZrBfrXiEDwE9omKRYZsycy2DdL/xsuCW57WK8JkNk
+N+VVyfv7KoKj1zqtn5gI5yTNO/H4m3oQJi4PYaZbY/8nyzsTr2OsQ/i3ASI99kA2oN4hSl8Yxgt
9ERRZK1OtkVj/Kmp1HhOOlm+DU4WPYnJcr9VPcvMIGFhp+FBtPSXmITQPrBhsMhtXznlcy0ae6vw
maIsb2Lk9xG2OIQSFiOgHfjoLuN9LzRgoJNrBnEixIJz1vT2dKB9GyYxyrShAx00IykY9gnktTt7
d3L7/FgvzgvLUyNg4cEpkrsl4uSyGLXHWQKnCI3cy9+yWcOboOs13nRRufVPXW9RSQgmwgdWceyW
DS1zZ05C0z329BQDKpcSNrLMvOymlUVyMzvX6VGTOpD0FuTWTymKiTf+pKBNpSjhH3hSbCNbtM8x
+6mNLe0Rbb1TPiG4z7aLZLnHBntqvlmKM53DjAJ7RN71ncOcv6gnK41hjGtUTggBW/ND+i2alpgt
OolStBcL5IWxY44/8ZtqEm5ZLBBC8Rv67AWHimNhiJA04KtZhuvYifGt0DG9hItd4MWKBt+Eq4nL
+yPt1OCEAL8cudUNrSLhd9YJFwHKetMcT7568+SQRs8UAIvKWNnfxnKRv5p4aYnJTVBmrKZODfEw
EwMi14tkwZzrtXN8NCKNwR0xXPmVTYOe3DAQjcl2lY2d6kHEyV4VVkcNqAFODObe4Olq6zJFc91k
GkEP7UTRGYPHJ/etinaqUpIVtkIRbFtNBvhDLmhZCAaELs4Hpx02TZ1PMYJgrczxMwHibKJ6hr85
O4p/YjgOhPXW6y8tsC2+xFtOfjbIUJpeRL5C2353B80AG9+6b33WlqehHPLzkukcxDo7kINIZm7Q
nHzzdzLUOfRiLx2vdpd71bbMOakXQGltwLi1aQLLsd1fdSXE80SUU5Aif2D2KvVc8si57dfcD8lT
KyyZhCmcxi35YuPVK0fyqJUcQovc2PeKDuQU516dhpBmyyAWKzxEVMu5NCs91NxenV0evS2RDNrn
ApIX/xhAUVdf5WuGMH/EkVNc7ahX47YfI3CRubVOhE36Wv0Qob1DSQY+6lOPZ7b6vYCmcQG3QT/l
iSF51y3k8cACixQLyTShnJcGr22Kkvkbcn3xwvErb6gkQPvr0/xRcz9fBERNpm/MYj5gISPdM9Ti
ChSlAv3WkLloa8yecGMk0Tk9ktD09vvYQ5lBRDZco4nIYt1Vzp9sz1CgQ/t4dXiQfkKBi1hu6SJl
xlTsTTule/HqDvR+i7n815IOsQydRjGV830NCTd/NPMpZQ73TOBnDyzFzItLMwzuh9MnydcCGSph
ptAAZDeKHIhWnyWAaJB+T6Z9XCZ7aMI6RvM2G1J8crukT8IwkoljS5bGFOAFXYpN3Umt09mKE4+M
Dr5eQeyLPR0Lt3LQ81mtjbyRQf4Ep5+HAIoIBgBUd6YfXeuhfh/KFi8Zs4ANYvs6TEsiHHYUBgxn
+k5zh/Oc2OKZtgw3ZjOTW0DmJFoHmLmapPn6D/bObDlyJEuyPzRIMezAq+8LSefOCL5AyGAEFsMO
mMGAr5/jrOqeTpGZnq73eimpyoqFScJhdvWqHi33dpXM/Va1llsAo45+dc7onuuMxg1UYzvt8czF
w6GzrOBGefbPLki6F4ze3mck8XIfQsFjto3B1GProMSDHQJ70T9RYBXs+lXIwIvZGkaPG6RY6rTL
ao3QbTJsMoMywhJbYRyaJvdaWEK1InWKEaHRVaSM1ZyV9rw3SjN5ouhYqLkIUeiw9gTHXl+KAVEX
UwLIFCBtf3qZJA3v6TL9kfe1XjDEeOYS5DlEBgGaZ5vlMzyWMEOUu5Gmmk+YYKzPJO9VtMqxBEkG
1EisW1+O726n8ZtRRW29p1bQBGt3mIsPM7m8BWKnYl1vL5b9VJOV8Q6pbrmbABWaXiaJbrMm4OcO
1BG7LuN3yvSJTbGY09sZrNyjqMsl2pU4NVkRArrt1wpHx3EMnPCrSpx+bVDcr6rEpu/aeO2OdrDz
tZe9TQbur4/mj0Uqgasgaf1eaXFtq03g6KxJoCAdjLb1a7bT9qfw1xhRCYZ4kG0L0rKrdIyqnQfz
ejUkOBYUpu21aVPnooqIDojAzzaVS3YRQxlJOFMf0tg3VAdDa34oWgijU1UTxhz6kmruxOPI1YSG
Ex83d6iihSxJ9SteHPuNJ9H9M+UD2G2KuPmEMYnfh6rvbwoAcEB5ijJ8XOw5J2E1xtmTNdvVLY4Z
vn98KF4NjgK2Pq671PtoKOY32k6HZyboTNAf5Jt5Q08C+yub3cafmNvgLy/ToIPoILlWYbvgYdbU
bkR/3GjQPbGQLHsm0tRwxOILvp0Gl3gTzKACTA5P4YqmBfLuNnjtP7kVIsAuXfU0LbxUVm2dtGpj
VYT5VhTMZFwqx9E4B0XpBa5DaeYTnVTofR2pT+YATlqSQdjJfG92M46xuivvKm7z1UZi9hDArct+
m9pB/tRKupYaem62S+jChqjCBZGpA3Mxka1eN3HhYino8BHRXBBYJ1kmmvN+zlEEwyyIiRtrXJVu
MnMT5KAsOwDcml1SY195eekSZPit8HgOG8ub+daGXvNij1W1a3Mhg62SrTibxcDMHQGJwwzCxPSG
MYcikgoz2W8ZEhQHFp1wK2KPyBURsTId4U04zatQbvk8kY39cqq0OWB4MO1R5XxGaybjBv9XX3wU
XpOKHWOsf5lmSWDGteoSpTgV9jlOUQ5BWcUzMHbqgVxA5InHy8GzMY56TdM99NFUEMuoeAzpAFq4
YCuLMWfwenFP01Znn6nggXs19554DmvcI5NV/sYIaUI6aCJSjr2N7r3SFWupgx+k9inoJ1RcPG7k
RUcapE55FYkT7j4euIRP/hFea38/uCmAKk96LPs9nzFPG2rKcza+xylK/XZtNcVXEJIwRJClY5kp
2X8Iihp3HpunqWuOleMsdyaTL9emj83I8LVt3Glfs3DDb2iNG8dOHZapwWXgA3DJrSTaQhxp12Hp
CeYGrh9sBgYYE+Eot8CXGSyWvNiAjlbk9Saxk26f7+vOrh9wuVYEaPtmM9rcGt2Ksu+Ev2b2ypum
tvOthZq3wknD5QKR9OLGPjutpjzQJGUT9Z5YHcrpHj1YvIq6ujah4H7cVP3wRvpardHdgkdNfmCL
tY9EX20uYWbBC3d8FRwaz8THJEzw80ytk5JQs2JB+VuXn4k5sazp8wiKRl/WtGs08WkhkOetmyQm
5MXL+zd9wfsuEsOfds7kfao17TWaSExj6egUZg4NeiRjvyIO0HXIN0j1ZcMv8ZToVm1OV8qWP1Fa
9wtcvXBt3NZw482G9hlymQBvl0TtaqKxitVlho0OYsUKQFp7IG+tX9qwk++JEgteejFDfVFhPbyz
4KyunpBcOyzriIPu+0JOwNo8dqpj7qUY8XCCfFn22N/MdsbNUmcxB1hhbNbEdjvLaVdqbpMSTt0D
MjOYbjuCdKVYRjLjiJZ+EpXbDcV6NjeFjbyemW1EA8DKbSNeVNHkTnLDHWk4ET7mtTPypf0cA6zP
G6PInW2MsXgoNAgC8O8VYwKgNbcmO9UMUNraULl0GtV28D6Gk/279UGmbzwnlvMmovPtGOvYxIeq
mwaSPXhuOIPdMvgdpW65yVFyzsM0THdzYZZwLUTGxVTZBamgyhublUc1wQOyQHMYles+eqPApZZG
gldiEgUTrZtLOq/bdiBTDM1y9jHQQ/6hHLvWDt5JR9yovm0PJUth2neiDB9OY7EvhwoSjft/66Pf
BZv/P31U2ALY1n8rkT4zuqv+7wLpf/62f9pgnG+zi22LyIUu7IagKf8RE4rtv2w4kg7RISe4lrAQ
IPoPG4yHsBqw4MTuguGLIM9/aqSOQ6MLgW5QYFSfRTDB/hWNFFDL37VKplo38KgB9YIArRSk7N8X
qm0tLRroiX5jAZ/XSo6U0U/RodJVSV7I/IgCUBTaZOXaHyT1XM342zjOW3HNSISloL+dOLrfTV/j
nHNs0ACyHU3AmW/ZFsCurn7inGRQYormgkE/3cJ6lPO+eAhapI3J0YSjB4vbVdreha10KLGYr8k2
/0cTt90uUPNj44nfFSZ3e66pJeCcXddx4a0WaX15qXtHzp8u0cbq3rOmo3oTc/1hnGeEJ99N+FtT
/Z4P5cFampu+LK6fGEzLqypI7+nIize541tb0c0pnoyivmmj0D2PhbecWqsNbrI6wcnThh7XBlHO
r7BSnkUuP6as/wE/Bp+a5lN3i6Ha34IkSK5lDmglbMtw03rqEYfFHuaMd8Pe2FBW4KvdwpyySbvY
ulqt8zHm9jeD3y98W/2xVUzlfBqQinfDB6KsAtNpts0YcPbzgBoAFL++DVlMrS0DcsvtUgujTh+e
ssHBUBd0pGHIMh9lb7PtA/nySUr1vTdxhltioel+ujqN4pL/Vrvtpwpi6zYJuFnFE5CCnPTzhpSB
d7vIXlEz2vwu7HHaWzTGXHqOtd1Eap5RzXZIYzY41MOQrG/GqTDFXX/qKuM8RsPyhXSJLVia7jKV
Sv6g4u+HFzFtE3fEyhMXYlWhgHqdVACJvWyzzJZcS13+yWnqO4RN/B6PxDoCzS9fxpKhjJ0rc3ol
TjgmeQBItx5E21PZF5bPeRA8szYuThHFQHBbTP4MGmfYyNCR24GikVvwB+UjbSgR+ReNdCRjF7JC
NqzH1nsJcVXhn7D8W1V0bzyv8W8javporLq6W5ym31RjVpFPHp4TK3nOZrMNGgZRpOHXYvHkRgti
p8NVXTSW97OsjTgU5OtRVcwWxwLmysIddpVivSVSXfOIRo96ptLcFBjH2I/5fN7pQUEsHXTF1BMj
SOyNGdLktnCdrt9X1FQcWcrnCv5J3957gWm3tm9ZJINleYkp19hCO52OWHzbXcAzeEmRl070J+SH
VGYMY9zi+zwe9kAXbhVtChkqQe+eSckVj0PhRXsHYZ3hZXi108E8AeBLTxPLn4M94qIfvYC+x8LZ
y1xXr2WBB58fFX0RKLgjBzUacays5GfftDRlSqe7Qd5KTwtKOiQMHXooEX7vYNHofzdtX28IAmIJ
M7h9g8ozD6m5Vm0bT27NpFDXhgARPHIvomfWjRIi7EE80WFj09Q3U4J9EcVSqZUVLJx68QFBnC7P
KWwOEb4puWoX+yGRo9ko60oYyQzpB7A1awAy4foqgG1YODL0BW0EnTa7oqZBiFKJaAn8aSAo3uYh
Dl5UqsJDF83JWynCBNhYWDBMCi6zXpgdi7Cbz13o5y8xg8JN2nRsdDJ/cR7LxbbuMJKTv4zL4i0g
HiWyHnBVMOMao5ajHcx9O2rnt25t/ZgzzW4s6uMRF3UAuxuKDiA4JPx4aD8JW0+/NRTeS9i604km
lukwjlG5hkQOVyAsJYTZ9C0iBnBn9dE5sXC6ofmwwYGfhvy3rmaWHpHVnY1OHD65uVtsiJBTJKCz
8OyVVXE/LQnxQXssLhk8RPgA6kYFud5zYeneKI1RK4duvrsRTuE6m8macf9ytsglfDuJ571oUDhM
5fPymGTLg2Fns3EiABLAV/NjW6gHziHrqJqk27E2TD9RG5eDXVrPcCTEduHqtWqcerw0MvI3UbTk
G7eOYKI5+Q2jiHzsUq958AvAYhW6/nUysdZ+iE7NIJls8Cfhx8Pcbx8tH37IaHX+JqEeeC962d8Y
i1uXBSxolVSlwPrj8hbO/d/oSTVmwdJee3H8QLTtV+5EM3t/kklejD5iuGpupYZA4kJl3Grwzyuy
+gyJdfIqvIZT8fo1OCXAnDSfIDmNsfMWaT7NJZtTVvlLzLIic4q1o32PVkM3nT6tVFW0vNRT/+y0
0R9/KG6rSfH2tQ94Vewtm9aLZqHJpCKBaBSQBh+xB6mdjiQzrVU8hsZub0MRFK8tVqltBzltGy/Z
K4CavQ8aF4ii19eoe/HPhVUkzpP2i5iWtQqG8ll3bKAKM0+buhR3i15AjXSQDNqgeBnG3sGghu7d
X3/SEZ62nauZtaKKV88Y11+1s3yqsHnXoZPwTUUZ25ZOmG3DARHHl3V+MkQL86zrbyNEZyZZZEAb
gPUMimrdcIPd4K8DGrGACvKK0D0MWvbPbOhothzSbh+MY3VwTfMhLN5CVwsHlT7bYPQ/59o5TJ7/
VbHOoJvBrvGP+l//vu7+j667uHnZY/+/Pd/n3z2e7797Ab5/yz+9AOFfbkyBRsxF9+qnvlYX/OOe
ixcA+YEoOqBZHN3fN+D/8AIAexeI9bEXksAE246d75927+gvSgsFXgDb4c8KnX+RTxtcu1r+qxuA
0D1IeV84GA9YbZOv/1sgPlZEAKW06Vqn7CJIGiRI1QCOWxPdUzd1wboWGolzDtylOYjKHY+87mS5
jiqMOFi1xzdvQjhd1VBZfgQtOghzXd0cy8SmNyGOJA1iHfvbHRip6CIybFdHHQRTftP7XfPLW3x1
HmrW2SclAm6IqskVyHEvoaDUA2IjtyODP6iTvMXhW7Cw2GRVmX6BD/Ur4B5MCZvILfppNUKRpBmE
Qrn6PLFMfiFCWcgtLeDEPheRnJeh6xXHhwjeumVySH840fOQWdMFKif4RX3daONsTE/ajgLFEj4b
IiqYVHxybLncDbQymlVpCXh02qs9fXIQTMWWUpbeOgVz5jxR3Kj8nZQ0IUKuJQa0kqmNI2HyBX5D
T2YmuWQh9p6tny34xrBHY1cfQOVNF8I24XBDPmDkIkrutMR7KD3aHgvbEAxHNRPrvKjaP91EkJHw
Xg6RK5/7G9yDwoeWC+hyHbjXhZKHLxGl0anoB5NOnu0QF0HeY4FEgJliiwVLMLXyl4Rn0x5nW5XN
Zh4kf4EHV+qHQGK9SGaAAz8Z7xnlXB/mJJnv2FzF9850LYrO46I322EQzYvjukAHiKIbiuLSXp7a
3oiUhUNvXkUrwweW0sEvpng33yogHSCOleFbE6XRwvapCMqt8gfnrVO5ekMH80BLUqVMTR64BkXQ
KOzO5J7rJ0xzHWW0UUeerkWQno6eGTPOJW62cEWvOoH/rRng4nQfqTtuDv5VUhi+1QV9FRoQUtAc
uuxqlZCxM92B1cwQDZEnUtjnv71vzSJZfARBVpJoGQNH1dHTVjFvum+1Q12FD+8qgXTfakgVCFeu
pyWuDOy8q2Iyfasn87eSMn+rKupbYVFXsaX71l3YWwynIVqMZBV7VWa6b5WGm7v6E3xrNwgwdbLO
vzUd6otxmztXqSf5Vn2EWycPdE0BrPpWhdgw8xnEKYtahKUH5Sh1EJGujucv9a0ssbMlQ574qt+w
MGcFuKKjIJIrPtHVUxzn0WZAbAeppsvKQdlHDeUQ5RZahspsa0V5Gu3dAV1SwmFLpkJsbjP+14MY
RPFaO5PYe/W8bMPcW27SeCjZEKFzdcZJunUup3C6neN6tB/sPm9e+wl+miaRZft6UuvYBXhGjLSq
n66u3rEcZr2nOWBYjlXPk9LJwr8VKsoRrKJaTPwFMF9XArt8+8kFcLlxNPTBNYYafKaWk8j5ldGB
pt9uxqyfrtzZBHKnlSh7thz4vK/tvjL/TKwue5xUHXzKciLkjQ7dZccJ8NVyyTFw4u7lI6N2sd+C
hUSkNWw5wJa60TGIF7VcCGRfp1zLKl7HeQyZXN2RUZbswUxhnZ853JPJrPGaXyVDFuGYkYAzuHJ2
H41pz/UQFVtk841hRbfCA+KyJ1Igqnyff9vV//LbeBaqVfBZK9PeD44e93bbyt2/D/f/0eEeU/37
3x3utx9f2fzxf4XQ/+O3/uOQj5y/IngynO6co7zK/274g2pydfVxO6VZ6v9oWcFf39eBKPauJPXw
qqj984x3bPqEA6A3QYA36aqP/Stalv0tzv3tkAdDHARs1lGyQqDMV77Of6Xe5DYEs0Uuw+6KvfY2
osfoALY6u/Dcild6we23qEuZnHqylzfkvib7BKZ5PEZTDgvQc/JLj9+Dzes0e19+LhnR6zGG99Wk
TnCD+K2y15SKCOZkq4legc5w+W8dZ2MsV2BuKh87Nlsvod/4JByVvrS1eGXjaKiorKfn3G+r55SL
75fyQxdBpSoODu9FTEdLduzTSt1X0pSASEIfnjG+/qpddxltgaMzjySN54GX24gFIRI2AXlWr/ND
rBJ4LBSslg0HdfdYY79eHjWtYu4xyJbqqRURsneR9/qpspuKHYI34T2KWQZzOHlOpo9OWuqO2TNp
vywrUmRPuxqXm1vxorhRpo7jE5NjGGKM85z+YZ5l++WBoMj3aWykfrXsNP5qlsV8Ljbw2YPTxx2o
6pADIy0mC9d7HGNascBcVJSphfV0Wixf/xmTcGxY9FTde4kt4bkJoD+4fRI9OB6y91QU5Ndd10KL
y1qxb8oo+Jz73NNHN2jZfEE9QfErs0Asq8y0gNF13+zsAtVjzQnCIpz3yrM3NPlPVXrpl+qs/pcR
Q3hXUfMZUlrbjWDxp9Rbw5WZziGGrj05XZCrBIWrPd8VD2Okj+hQDp2meTpvl4OvJWQ3ZJEbFySS
fF94OB7J5lq8tgUtkwzh4BGsEtjcgqFr1SYzaw3hpvm6VRTco8plG7bWpJs96Th7JkHcmm2R3ni1
/KUqnhaKZiUI56rBFpinxRPU6xTLBtF4REiWCVESrAtrsYmne9dR6RofH0jk/0nLKnrzelwja1sA
uXvPWqQAHGh6zQH36dqNwK6lrUNhfEzz7Lf2KCnUaY+EAs7BWD22bgFYoO6zG9+f/Ycw9OOfPf3P
tykr6WBb0mS6J1YSscxwMPpJYdF20xsUAsvxYUAHeUrNT+g5FCcr8shUnlKQwG42I692QiWz9mG0
4Bqby3SgUEZT11nXj2A+xTZvbK/bewUqNDseqpE9/bP3QoIHLUu7NShcn0iDBlW1i5okcg+CfrEP
HzNU9gZHJUOUMhlAOQwYSIyGq9N0FCEJ49WkFqoamkpQGWs7EaIQeM/sxzDlpsMckY4QgjDyGLok
U4syATlB7wP64GY7TwZOt+b+bF8G0k4h/rE++AkdBkgvl7vQSvZJpbw3z/U6644pP+t3uZ8zr5ur
TXjjUWoxU6mI+2E3zWYWm8Lwg17RCQF/aOU6aW3uvC5M1S0jMrBiuytE9ZTH/KrHLJqgbMwhZKG3
kacrWgkEH7qkU4s+gnxiGbau55jQYbtMLJSyfHwWRekfMWWn3RMhkjnaAjaIi9+TntsbDaiWDzbn
PGLXYpevPV+oQ9CkkL/LaYx7BqSkb6nahI1Bg1NYwiIXCwLvEFnc1WtlJ3pTLeUf2qC7dRW4U7pN
ilYOR55M3ABtjvPMjnvvAfNCfVfXvv8VWIbR3YvDOD8pz+8/3bjsrRUsnG7DCpJrP0bfnJeEcV7q
wLNfwGuxCRbS9nalpGbLF22XrrMIAiJyW5evyaP5dGn7dFlA41qykUAgvuG1KlTXrPlXrDbQpSgw
kpmLgbA0EjJOUffTT63r6FZjE31rQiqnGFmmGecWVZdswPECs1gzW95DKcnGIZ4OAfr3rY67+B5K
AfNiVEBtKqzAPPgGwL4H+uix0jXR/wlLMjbjOm2OCQYjsnFUlR5JMuTncSRM71t9R5u2475RxzPt
UPjxidVxwN5/whdQcURWW2MJEMmpLnEPO6ZAVbLSheXgovZiVvFN24wWS4AB5phsEEAzr24vyFvq
A7uYeccM7b0OmS2PAazHneh18shpmUf7zg6H58YuzGfHDvYLQ/P0PPXVtNN+/RTzWgIt3KE3bjPd
PBV4f4AQ4ac+dZRwiD1DfHoAt+1uKkyLew0lMl/73qjdtc8tM9tFpV761VAGP1O4o5RCYRk8y2CO
/sTYhld13nikh+KrMD5W72FYYVhuGNcnvJDK3Za6jAAolc2hqnQDkx07uU/hBYb3ZrSL3UypES/X
lFUsmI4blRQULzs1lOmbuXJBCQz90rxQyl2i8Znq6tDWrXdsPaXP6G9oS00YUQc+E856Rzb3HrSa
XdYCMr7UvYTHQobgF0dzfwN7fSCPjSl1NRnTnmCnpecKhA1fy8yLyndN/1jlNLewRtfxha9lfAe/
LF6lPWCMUJRfPDoh9+vcn9txkwThbgiL36wBSxA2CyyrhEKtO3569U+xAHsz/gg4vh/9feN48HWb
9gtX9HKf4Tq64+ZCYxsyLkY4RArWRnl2pNkMKcJWPSmsRvN5C6lJpPg4eBDtdUKqVDyTErWW9gmi
vHVyvKZ/d+yaByz11IIZp+mqiJrVRpOPC4bxM+i0h1251Q8GpLR79LNa/mimNE0vszdiiBGFV382
0zD+SgDAIVSYBjVgGBLC5dhW42KnUx0+UdiNbur6ZXhqIxIFK6yw/Oec+VSo86fxMhNWGGr8GTl0
bKfj/6Ql23/wCtir/jTwZuaHa7/iY2cFg869ELQFOYJWneJ+bH2T74nPjX98Wnk7Sqv538LN1B9/
GvURuHp7M9GldfKZmR5k0+gFO+/cZRu/1MVLCft5n3XVcKakXuxFkIDP7sFLr5jXyP/a0GnB9Q0c
NjhCWJWFUvMVaprp36604PjQF9WAAXB2l48upn172xl3/shnK/k1DoZt2DBoeOdp5F1TyubqyrDp
Lznzg2ecd/jt9Zq8fY2QHQ71pSM0/8jFNNtAB6Nk18ujFG+8KvHy8memeycumvcYRBWfN7eedkzb
uY3cQYp/hNf1s27GIF2jj9QfxAv8s5ckyYer1EBotFc9FzwrObOasP1Va+PQCfmStmyElnldELR/
G6O0+7UIot0rtwn9uzzzNYgNxLHHrJnN1a9bPzcxhQ2rvm9w/0S5zimkyYdjTWGSuwUQ2Nzz1p83
fR/Gy4HLTkPAXiTpSwKVgPfOxGtycEgpAj22AeKzoJAbOvfqau2auXuP8oKjJrLi5dJXne+RCTXq
YxwbfxtmBTHIqpPy4uZO7wGyquhGwwsMnsguQ3M79jaD5IDN5CVdxvg57lrJlo8/7I5FsjgAgQQw
aELj/YBGobMnaVR8TwTfLVkNuhGJD4vj42oEx+fMyQzxb/ZPGeE2gufVGB2g9Fgjm86MmTjle3YQ
eaz3/jii5/t2Hz7kS2GFxBwm5yng1Nm0QapeM8LdT+7sRPfUVHFvyzDHPpTEVvROxIs/cCWxBGFA
zFRg/XQaPOkgzi+FXiC1UawywxPo5C8kH/exa3lRHwIXAsEqJ1Sy9bVvffHGK3acz8HOmaPiNw4l
SlOrzH9BzmnsHZyq4FGoKQBfje93HWcueb/OgRs2zXi/iaaHP2Wol/tK9NZnQ8vBk5izPj87w1hd
ySvhH8ineXtDH0mTgID0qy/C5OPrMpn5UC6lPod4vvINuzDCeSLURU2Mup/nTU6xX3boOiqzgUJZ
L0E6l3pbDu2wF6M/nit4xsCJckGgwWfFYs+qV+vaoTtTEFHP1h6MybeFLsttkxVQDkIc0iGKaG52
0m7am7GRUD6tNO+3U51CzUwHcbQr9cMIiBdJ2uQbUJhU5dVO95404jpMBbR5ZCgaed/y5vFS7yFH
7Nn6MOOBdM+QPwUvL0x22asj7Yh6JZx0PIUoUkP8pwm9wxC4/dGAadt20VjuPCszezY2zT4hnfSb
fO1wIaPF+28Gmr/qDdMhLTn7hvXxHo+k520co4O7NG6aewCB2bEr2mFnz1Z9sAeQ410aql+THNuH
0JqTCGWOqxF2vOYZj1C6C3BxHQBUpe9cZwYsjtljzgoHFhVf6LyEWMhQkFahbhLqXmizASIArypV
ww0uYU5qCpk2Uz79YnoYj3bDDn3FSSy3up7GL9mhOG2LqYxgIWTRe9FhstvUXTCeJh6QNT6R/tzj
b+ayKItTTJ3OxxJ1X0trcbei++N6nDKNtVgmjqAme9IFzrJnBEp3OsuYanMMvLfwfWroJr5L9ygU
RTjJzo7ccPAwVhSarjtIU+egk+ONaDM0W6vtik3k9+LiLxSTU5ATEFVNnnnsHwIvPWujoDVOHv51
iYjtlwseZmz+A+niFT9OfL0yBUnXLUV2m1ljLdfFrMpXzPI47MlO0yVQIYJTCvoSiNF85K0098Hi
QAQTwVjczksQHgIH8FaTgPvdCzOAWxY4u34GjrjIdugvEjl0nwzjQdluzw1QsdoSoP/euXUmFLj7
/o9hbvRnuwy3VVZ256EsqisKDXZRXrnpJ3Z08Zly3YA9waqasHV0y0VvOWvc41ftVj1VGX+3G7HX
BDeldh24s45H1PKPgF6cu4Zum+cx5G6OwD3iTi6t8SfuPf802o7e1hU9YOPsDp9RTRSqBE9z9uNk
ekpSKiNFNIrdBHzh0LM43LmWHbxFdRdLmCxpqje614tgwRjdlzyN3baCFQJvUdnVtmPTCshfqpqo
mBNS5TLZwDXgU9LMMlpu+45l1q42maX0n7AkrvUcpiYya9upayaT0cmg1LT5V0+BpruWZWUOxZLX
7yYlv71SrkMOK7SKNr2vila8JrluuH7L6h6/nvPuZFZwIbdvf8HMomVcXpfZq5afw1Ex3exABjJI
gP7KX2VnJp8ID01wT3jr6vpg0i7atim+0W1UdssPnbU+pRmdPhp6kpgXjFvf44h3gsNVIPlIfcve
arkgf3raBOREvJEzbKxH68keZoGxSIM5NKp9yspw/HDo6VlZg10dHD9/74smO7twXuptqVK5ERM6
C3NdSeAqafznLpxHFhGL69ymwMUGfIV90W+dwVnCPQwK19q5xqLoIbr6yF9BbTpi33JqUuWZlNcr
Y3ozTfAcp77gGzHGihzmgEdlVehY/GmFUXcR3Lg3YaqQdcvsJni3x7D4kdd5f0LBqVFsiw7DuUMe
9WSFhVs9T1cQLnq2pmwJ4ulwbjIDaXDJ6N3NJ2taz6gS+9ENf8ZVV8XbjvFt7yLOhbyRcsHi3PaB
ETVD/w6cdGl204RLU6YUGjCaWc9tlEQ3uDgGWEgF7gkF0ZGPXN7f8coPvHPHqvxiJ673qyxU9IYy
g8Ge84ibdOvva4nnwccn9ouuU9h8ORuOG9Mpe2fHWflVWK2V4N8ocoDXGGWg7S/4BVYSa4bPjQ/B
AMOoQ31V0E7UaGH3m24LidLOWKhS9IgS4xWs9XZk5T/Ualq1dOUAnhnwGNPxcF3y5LBeuQ4XED9W
CU2rLLSZxAoqleYIKFOoxaaX/hiuvb5VP9yEcnigGQ2QF1xp5bNEDmSbjWJ5qRlf+KcV5QXrrOLB
XHFOy+DUYVD9SAHernqVpSSDcYNzw+GIAoJjwcDLKnOa4vaq7tvtW1DZ0Y8F0jyV6n1m3TcRwBNs
36QA1hNBjF0045XaAbjqAdfoEkpTy6YzmdXAeEfxIN6wYmwJS2RR+u51c7uvAxUApKwjj6Griqzd
SIxq4+egdgL0DzwKTinPgVfKmre8E/0oBou6QDugdrrAFXNf+cI9lNXVhlGMbvlYU0J/mBKX+Aa8
zk5jSUsBehJ0rG/s4mruHrqKD0lFDVGL7auh8C1xKktjtB2Tqj0CrkiAdVQ29jrcRYbGmcT8ZOMK
ZBBL//CqZhITcJAN1vwpvKafHDku5L8AYvcriumTD1Vm9jMIVSz83hgF3BMoMD7DC8bNzhq3+HDY
YKJb5Mayd3NqA/4E2zP2pzhUy1tRK4YuHk8IhxL7km+DMTKkZzA+7avaCbDfkXvY1ZFbk0gW5ReJ
W+cWxz6L0lJeDcZEW/vgkqt0fAWuU7x1k9DAL+eEEOm0RORmpBUSpMHxgtkBmk19GudkqVcUo3Ts
SnUaP1d5zzRvHF4/c2AXn8k8sVhVoJGdG94TebkiLtDygEqorsfIdH29T6NYu+ep0mrZ5IUJf/Xs
y17KwIFXI0F8QQl0kPSwA4bUaGcB2iOzgCW3UvW4PPC9u+kHWK8QWnl/raeKi+iOOiESnCHvT17Y
lB6Xq4r3/7KRNY7vDRATrNBlbSPYUNXV4cLJdXtXACedEGml+RkkBX1MYfe/2TuTHdmRa8v+SqHm
TNCM/aAmTnof7uHRNxMiWvZ9z69/i6589VJCQSXNpVECwr0Z6eE02tln77W7N56kWt7UqtptgzJo
uptSxT3DfdnSHE/RmuDbJ8wZbkbZxVz2fDyRLq8lzpUxH9PsKdZ6/TA7xSxXatdWpgtBy9DxijnD
VjeJwyqyIXTTAx++gVXJUpcpUglc9rkgROa0SOO1DKP5Dvt7Um5J+uaEThKn8SqVZ54CFN0/DaPi
07jcxvO6UmM2zQOrKw5U1Wn1Faeq1uOZGTcKWcjuZhqMvHKXqijgUFOJjhbVKmJSY5mcA3Po2GfA
b9zuU95sjGAkSj0/jjEp2LhbzW1hB7gM1CFALJoKfuBgcX+eGoww/ibNxG+fKPZ9bYM1iYyYiKuu
FJjfVHqBEh7jlBpVJcV1t244NoOV2VbKXcCoYT/LaJ7WAdWHDDBxW/FyEdRMM9br0a/OpvM95UKG
tTWS0T0qLrUAXFwrYJlWdJ8QCt/BTg37DVRr67nE1n+cpz54XsBmzYp4Vwx6K30tFc1fF5FlJfuY
l8jaX7rUggq8ndeNfv7BQkf5LqJyeoxp1MPTWJB8XBESb6djyquwXo12mp2ZIUd7h4kALTvpnS8u
c/WnGtvZ06yOMMdgoTTkRJTwoAiWTW4LIbJagXPSVpppEswIU/1HKNWwQbXQNiOCwhFJR3djzegu
jTrJJatUaAJMzTDvNL649201lPdUNvEExACRvFAG8qGuGs7sFrP9YwL/YTyGVVduYDLZwQaSUR+6
mdKgRImywXzl6wS8cXbxQuUx6jV0yygc4jNiQzJt5ln0802J3cvcNaOhsZ4JWxvYVCLFvp3CB7oG
IOqOYvqAob7WFKoIqA0ju1fN6fDFQoacpFPJV+5ko8G7LQ7NB7rbEC3w0hERrs3gsZbCfuQuSkxY
dUKscyqrKIVrW1W9QPcpfqEychfVanQA127U7Ec2lBm4OE5SSEcjYj+uBRincsQZl3HQc6Oszew/
WYOff2U/qwsiAP98P0snyUcDafjvHFh//rk/l7PqHw65cRVzAsSgv1vOyj/wPi0VrQZ2fYF36H+2
s/IPldwV6SNNag7IEfz/f25nhfEHji2D7awmpakJ+9+qJBGqAfDz77ezuq3rltAW7KYK4OUftrOS
oWZspTKup7aU/c5kR+KNfWO2HID6b7DcWEmrASf0Ruo4Ua6uETdxTbsplhKtbThSJMA5u1+zCcfm
GaMDITiRN/JLq1gOE2/UELh0snb1NXeXXjN4EJPT8s6oo+hF0Y0oQObQh+Kuknna8P6jKNUt9Bzn
SZ2bvvT0dKhrLw6xVtJQaCaEvnsSnxQwSEIAf4uvcnnGRElLQnDJ20D8AnDW8f+z7HbxtDs0D1XK
vUxCRZ67ZO7ZRoQ4F3kaRZXcDnU53IBiJPJoLOlHwV7iwHLHsL3aoOfj7F8Dk7y81eSenPArJ/Uk
tuhFvGAqS5IHH3xUozEKcYrMY63HN3qvMTLk1wgnTVJB7aFe6rFbBTHpTVvJzE19TYBOEoAVvcBx
FN82bPTZMLB1MatGu1FUbeIAa+yetIQdDMmhHkvmRtKivH2WlXu5whbNJD8umVbZioSYkoodV8GN
5bVLDJayQXmLKFXcCBqy7+haLd8aMrVG3ZKubcak6Dyu38aal3HTMkOa9srR0+iFvw1aTR/UF6pS
7WJvpCUJ3/ma9iU3qd8nE5e407Kc9WFhdDr22GtOGDeOMm6GwuRm4psq04bespo7BBbBcVcdZl3Z
1eByFjza0G27MvCpOK/HyXGNa7rZHmjQzMdRDG5k+01+Q4oAVAmOZnAsBQbtHYQTctN0bibOXmWr
XB4JQBN4xpTX9WsDv9xOjnbbekIrZLEOZsk/sxshrN3QceNvpoRsA41ZRTNRS+FIgQJSmnS+BuWI
NS9UUvaxhMLLJR6ehQXB/KCuv4vGp+eabx28IPUaNO9rLG6eIQCThbXa7YN0WQxXNFXAKFdIgDPg
ImnHsap9lo7oxl0oOlT/EIEMRoMj+Y1NdVActKGlgC8q6+SmZQV4V0fWhcWN+dQ07Pvd1q+UPU6x
8GAPA9AehtgSSSAW90Rbm/cZEzpk/oSaBMkrlh2wLeEI9njyipSZ/jGqA9bOQk14n3RqOT1EuTZ/
Z2E2n3pDrQcaiYpQ3NZdAPlgBPc5rGU+l/1uVoPs5HC7b3cjOlPlqXGfvSGFVLcOdLLKqykFKT1f
dZLCVQxNf6ymsMQjJTOCBrZiay0tDrlxw2geGl4ZLLEkwCOBOHYaZ8KqCTL9VJeIxh7K3cQuNM6i
99Yp5Li2JtYqpggwXIiSMcYrMF+sdFv1n5U59bezRXYkG4v8m0q/bpXWYbQJfH18YZWcuRWvTDCY
VZ29sdrmuSmhy99CrqEnR8+KY66m/WMTmPSaUU3NWUA9KjUUunaBZzLWOM61eNf1BX1/4HyzVaz2
MtsxjulPIkuaYzMNwbuRyNBZz22b+ndQwQG/gTTsKcIERrpB5Qs/x1JBy0fBA5+yVP3y9UgrIjKq
tieNqEcrncZFZQWxh1e5b5npd2mE9UGrZ7o6ScLPz5CX8q+qL3pn06faGGxhidrgDhJqzKx0YFrq
g+EcVoWy93VJHggkZTo8lEPkM84R+NW9kKhiA6clqwgNS7889GaZdttx0kgONbNaxl6icRd3Z665
qmuoVfPSx5N1iz+8cB2wWO8i8K38yWaSxJE28qCsHDAfnq8UhuFZvAbtr0yZNMqQZ21r1ANfz/Bl
jhT1s+3SxURfxLATknrjdCEX1gamAkc4tOOC4WFxgEYVyanG4Bl1NIdjH6T9AR+dw7pj7PCYCr3E
8q9XPiEuRX0MJoaiFUqghZwG9nhYpwDZ79TOt3SMDgTZVrZl6MpRn2X8YQLP73eARbvkpGv+7NoB
R45LKThwYRmp5mpG8r74URI8EnvOU68PRkEdjBY5hSeMhRHsGDkyMkyg4cnBZDtzXokInweffLSe
S928S8dKkUwUeYb5kDKY0jOnJRMq6YO8jypJwxNnA+QRQra0TIZYjOU+sqXORhHayzrnNKMSyIrG
Y9JGKlXg+kxKI4dSNo5FGbk994NmJ0H6+Zu2AtpInWb0bY4OoRBmwTulb6NsNVbR/MWdM61XrJAk
cxhaTeHxr2jBoXbxvBe5niS7xlgKsyMaJyecA7OE3WgvH0IuO4abhBhKk8ykq6Za0z643y7gkzwv
HyfQBKdCLQcMPsmIZ0JPOFqdDksZVHv4oSP1CpT8hP3zAM7zkEwYJzeqAlstzlSbEAKRg/6UOPP0
iJJpg+CO4QlgUqyrckdc0f6xBn3aIcUKuj9DhsNCGcADFTM+kFU+BHOBB9uyic5A377VCfZOO72L
S+cy2SaZZGWwwhO4EefNXEwzsVSO1dVHY+GooUKBNPfVZeMvhhuNQ87zryacCPkeyfczXgw60WLV
kVfXDuYjHDyBnO2XdrH1QKXx2fVj9QErhOsHWFqyV0faWjhjlqw1HqFJj6lcHro48KY6i91+ZGYj
LmgdRGWpctsvjqNs8R7RuQY1QAQYkqrFm9RdbUosLKVrVQaMFMufD0o1AxyHt2re61ebU7g4nszF
+2QW4bwbM7VbKJQwSwCgw49LF8dUHBQIAjgE220bBsNRuZqrVHNoYawvlisRR9a5X3xYwBaCb30w
w7ewmR6Vq11LXq1b1uLiihY/V3a1dpnWMrXWnEVk8LVZ9ntIzOYnu2OsCSKHV3rosYqJxTOGV92+
0+WcEUaJxGMK5OfdELj8z1pc9b8YJTGfBdZiRDPbEFNaeDWoGXJOYJ0BY15jrcPCVujJ+BlIfG2D
nkf9cwGBKdqahSi+K0NT6zuKMjDEyRjL40G/GuXgT+P2CgIHYVdfvHQaqnHF9Wax2PlXu53CdY4s
3tWGl+da/1BdzXlRooDMuFr2iqt9T8PI1zdlUhxgVWPv05xhusNeC3hIm8MTxJZoh70AO2A41u0W
mY9N4tUuaOmE3dxFuWCVZZvtJZrrcJ9hQj/ksRLtfGcgVafrIXyudijW8HY6IDUljdfERXmXcwf5
rhcXo5ET68EFTpgM+yMlHTgeFSXH/AinysY0madm/jFdDZIctM4jFUXUMveVVq4C4ke3HQ10z90I
NCe+Wi21ZErpuius1E2rQLxIKOzPJne1c9MawdZJ+wCZ9TpXGtcZU13GzXEqy8rVEioxeUGmHq8s
JlMAd9pL6zcfEr0pdOlgZn4NZFL+4lyqXsR1vkUEXmJiPq5uV4mm/LkKuuBxuM7FEKZDNjyq8TD8
bXCmAEm+skmqXOc6Wbc6eUB9GbcFc/fInfxDjDNAUmbyeBnOFalx8rfXmZ1FMvO7ep3lk+tcn6V5
F5+j67xPoJDZX7nqAPKqCaAIZBZn3qIVqFfdIFokhMaqtPHYLcJCc9UYokVuiK7KA2liRAicl/dg
woN7vvvzjvCWROvHDUpUbu66S2RHuus0WnlU00bbyEXsiFA99Kv+US6Qj7C2Y2PfxJCOXrKqDNmQ
SXpuVllZcyOcNVWcSq3qLvowoobE5QprX4SuH44HNXOKtUaXnNs3/XsCQrzakItLfJQVq3YokDYM
Kvuc9n5Q/HkbsER7LREl9mjRNYRdM0+KXaQ4CqWGmR5BiTVDLKKkDpQ3EjOdckCxB3zYaZn1NBCF
VD0cFtQVZ3UPLS61iWL7vGjPgb4MZ4XVJAVvb2qLo2n0002BEMmv0Jjf6Lwa3iU/henFeOSEa/N5
A3CnBmmra/X4XlGQxn5fJPptFELL44LLCRvPPZf1rg4PvlaMP5lfTRtzstJ9LeCH7Hqn0E8MDbZ/
YHMrP+n51bxUMM54XDLQN8PZQXSeE5xYKLIA2mSu69IFHkG8tALh4PAbayEzakm85mEWFTpv0n/y
+Jo3TZLCmAvJVUdcO/Jg57M1Lb0+TDeDSjcftQJGditVLkNrn+p5cWic0Dc3TMSq5mEUi5mqGG9M
lyF3pho9ke9GywvMnduO+RUZVl9gb4QlGJQcc3oiWyt0fPsaK4mIYpnvvqqNfR924i0bc6ISoVHv
kpJjfpbwUlYGjJVtnbQYtHIgqplhk+qXbAMhjoOjKlY4Qpt3Xan828DCJmaKOsRgaOPtCqZyKc+K
U/NurtuiOVSFBMPROL4JmyXIzTVqKcJ4NwTQVnrsd9LFgzTe2qVNdj1oI+c7ovT0Afn3KVzcxCuE
TvhQOfa+rJytDSgZfGo0jB8mlr/4XmjeKtGkL1aP2lyy2azZ9RvQnaeoa+5rfxAIXp21uBWi5itu
0bk3sBfaeme1+WIgDNvvsp37W9inrBYzqbL4M4qAvYzExfmht4PqpfwefkHd4LjG8cHNPjJv4E6a
d2wsaSOiZ/mEBekYWA44pNQo8DJUWb9LdPOrYXdwScyAvK/M4YbSBRHJSt02MRnVoTe1F1zh33zd
gJ1liNvkcb/TPsr2DfXTXhrZfN4xN2SorGc9A+6dGQ0/UF+UF5vX8CZq6+CdOwVEdg4/80FPPlRp
GGu8CsvCKdc8+O35mqogY5/kavngl626rW2YTxycXlE02lZEufXNLlnsfLXW91qZ7ObcBjlmdklM
XrvMNzG9Uw+1EBMWJ1v9xPmZH2GUDB8wSmCm+AnIJKed1HGXJoUZQIYWw9dMQGoAbisq+IaGfWiT
iktXheqYuj1tih/0hNjTejYrAwS8Vu+KkTt9AqRmG8flsMNSzbjfl8lloMD6bBq4SlfGkE43A3ha
Bxm7nX+muMEOkXCDxO6R2Y80QZg3kyxj12xynZk4BUpTJqonucn/pMpYb2tyMcvL5LVyANDSMWR0
p8bkEG3NuIjdktiZv80KJ9iB79xWqZ1s8zYcQUeUiB+JWbZPXHcrBIqpKd3xOnPACPMqqkZ/bS10
IFhhD4R0Nb8JfOD3eQHmd4VQ37gVnndEc5W+58jguES52RpFuh9kUG7DVJi3XUJR+8JmUlxpFDmX
HSVjXU+q2g2s1sDcy3zaWXr1OtQqZnZ4GSvVsIz71NHbXYXH8y7F40KsOcxgN+Dwq1JNfWVrWXps
A+sz2BzaQPJJbvDZCTzvA/x0HPDcaIxLWC3OIyuKDuxjCABNHTFd6wwoanCxL+vHyZBiY1B0AtoI
jnmO2YkZuScC2QTKuudlvIFAErkwUrMbDqp4zSNjv7C+WYJcdVW5dLKxfRbBIzxWPFaR2o+Ppjk2
m6Ep2B1WTmfc4ri2ARrG5nQa6HJfc+LS5anl6WZqg+owz0Epj6OIy3aNmgZGLmzeFGxbj4ZZtTjr
q7l5mnuH216QaJTFxSDPs0Tltzqru9Lk91/nQUueGbjwAc9AulaHcPB6wzDKrT4n1ueYpx+AEyN3
LAR6QTtnP5il/C3nQ3FP5JItU+Qr51TDXqD7+LZjXqyYJYAepGFZbI3R6F088RjsUutcGn4mCOv3
tM857FGWMmEjOkLgzfeWWts/aqtdFJ9rd4P3jwuZP11MfTKxCrfktrB3rhbhJAb4tw3HuN0DVUCb
morZfDZlZrwZFA2pTcibJOiio1W1tAUyb8C14mIL8tGYPuco1Z7gt6q/Q90pzAOOccEmuo1NY27P
pTIlwynsyY7yd9GANqdflSFks2YZN+64ek9UHsbZJWkMuYPxWK1rFuHTHZVF8AwnkNt2K/wV5egh
Nyl8PJLrsMXWLonpVoZDMXR3qpbhhzaIsYbpfxDv/9JaQahCSkv7/yS/aFXs6r/Ldf/fP/Ynwkj/
AzyHirlI5wFeRPz/jnY78g/WA7y6OF/lEhT7S+yL7YGzAJSELqRmaAbbgP+OfWl/2BoXa/5GIloO
Yex/J/YlryD3v0S7CZZzpghLGo5hLCuOf4h246vMS0VNnF1cR9kOzydHZ8RM1oL3K1tGONcIRhZ1
cb6F6gxxN5zHp6zBtMMw/lIHtLgqFS7cwM/GoyWH/r7p9TuBpkIBJg+4GGCoyLEAxUfbR8UF2n/W
pZ2d2kTZN7Xv0Pdnd8c0ae4V3mjcIsfw01CoNcJDkLuyTy/QgaEMYvrifdSYE4W7VUcxCo1js1cC
LHrElGC7o99isxwmWLyxPuJYribYHWFRoOP5MEfIGO+UHO7+zmm481LdFb5GZfmTzEpueUG7uCnG
KH7Hm/45OFLdIS6e4xztPgmxZww2LYeEpxsPevnvArfx9C6vzqMxwJ1R/Ow+xlN2chJjR9IgXV2d
tnVkUAdTD4KmkohG0DB67cfYXGEQYcOv5ECjm2bgGmtoe1WQpY2txeOrdpSny0yw4QaahmcjK+/V
If4eoAED3/d9Vwuna7RkoO+rUd9BumLcavy8306yCFzihMFDT2qi1QblgUBxetenprLF4O3nXqn7
6p0xWOw3gd6E6cKC7lVX1MvfSUYX4QLokrZKriVElAFPd74csa0QLGk5ZOAVdwp+h11ahoGyhySb
HvE8tfHGnyVoG31sEoL0sQ8ekTSrgw+v6Za2Vr/eN5XZhOitUX+ocGDLFTb9yuT9MCFAQ/btfTdu
ylRnT6qrXyYD3TPjT44dwGm4xOtWhfrVZ1nr0ApOzpw0bYIuU+nAYiEhGBiDh9lBFkIpeYWDU59Q
ezHBiCJGrwmETwlYkGfCawdFrOrFm4+Mz1Dh5P2toWuNuJuSlnCQg3SKD1G3UpiYukD7dmoxDPcx
u7Fwh124q9A7iaW5KW1KM8HoSp4VZch/Uf6yo4U4H6xb3Arltmc/xO8cLf3QNgm56EHUBjrQ4Nw1
PWVMCXqmNAYf2wwgAyy4Xm8TiAQpSO2SdrZV/TVtrMu43Gyp95aUG9W7sEXjxNl5SoFJ8wYv7vul
Wa3UHwgqryfUnDM3/p2RJQsepaIx2ve0pCDUeDIz7O/QFKh3YaXdkiVwdTkYhNimbB+oiXbBa6r8
8HX2ChtMZq9eZBspXj7ad6palZtiGFcZR9SGpV7p8Z/6q813Wdt7DU5AgOvla6bI+K5R1X1phhFJ
iRqzbEiLMVdU0ysW9FiUJg8OBrOVqTQX25y8hhfcqhrqgC+DHeyuVXBAyB+hwobbJEECGFIt2JH0
YqVoZiiYE/quyIrGnWYMlgxWyoeuExOorO2YFyFcHCwgfUn2JreBQ1SF5lk6LlvMclpB23xenNQo
Nt+dKXiQaRbRBS+77YAdkEcm3uCGtD2h4crsUKm/Zn1u1jUwexrCITDIeAR/au/DPPX3vWE9cPSd
ghh2s1ZN8pBE9qZlUQdtFqvzBGW6cgBRwV7CRKN+s1plD2hOP0Hi34JHLlzAy+YGnsEj4HPxM7R2
8omw+PuXvfflb8f6/wIXeiH+0Tb/539LSkD+ukZeKsBMgVwhJB5C27Ks5f//S7tGXo690kfC2SlB
qdJNjcma+BuooWAElBoyYkSuAn22BEuXNCeikdFrEC9u/rHvzX6VmbDb3LE1eepMQJqXWDLhroMx
qXHJMdzTVCMSXN9RT7y+qHPx1U8+z7OoB1aP9OZZdChkc22SYehAz41l3R8SQQZxGwamUiMWGBwW
eekfKQLq+41xPU2U68lSXU+ZZjlwRgyViO2k5iVdSEMPyouxmlUCPRUgj+L7NlYma5VSO7/ncswx
NdCrxTKlWMk22JSh2d2kPndjR9U23TImanF/o6LsHQ01P0o40EcAePE6liAbwE3DJwYGi4PPAera
afdzxsIBe15zY0JM2FYsxKEVtJRtFFEDIMrfUqomD0tT74+wi/yJmEKxrrQw5buKPy/fNgkrxm2M
S7lzTQz3WygSPC2mGnMnd8iKU2FVijhBn2EmP5IFyEiDYsMl9CfXo2OytayUzHOcIH8Ol3o1AjmU
1dG4FhV1fMR0p186PZ8JWiISvHEoNGiH1rwxiqFAl1yI4Sz+4tu+7OzvACbBGqD7HZBTeTDJetIy
kcXihNAICd9Z2oPa+tok1GZzdJPZkoo+2qBuSUYRS4XAhje+V7ZCSVvyftJHYwqCL2isPK0jEt37
ZHB69XYvb2FMqHcRNZwslMSnDghmhzc8o4LTwAUvs/qSUicHGltu06yYWAyKgzrgZbI6padwrLI9
c6yrNe1ktQtkO6oxdFbtdFO2xitlC+OaT+4lDXj960lEjXTgTGuFHQf2XPGYOW3hJux3SWEzEtIA
7ozaN16JYWNWyhfLB/BqjG7bMmwPmgX6VsTU3Ytjk/kvfgBMhoAa6a9P2Ey0azhntQePPHVgXca5
Y1M7inNSaT9A5SBYdUjxgmFkY4+KvStE+2HYTXMIbdG7jZmE35PjDOz47IaeYDntmwZgW1xG9irL
Envb980Xl0WI2ob23esUeSqovDglAtvLRBQd9Vh5m8Ms2GaTKs44z0/0QE+Ivp1c5znN9polig30
DN+tSBaueqOe8ex2qJ4kJdndHoANA9RgS8ktYVOUTXuaS1EDBpumraWXEK1HfFuBP55SIaK9hOF/
o4jJ5PKBfIJ9U9yRCW0uODrWmtNHe2UhrAXgyFPI1VZ0wHUjaTGmMvkHu3W/lp0of5M+wJGSmMWG
VF1BNtIASJbht5cR6eoYlW8LxYZUaNrJ6W00rL5ZmeMkX6ypQ+vr60x9xQaD/bPV1YKUZBz/hj6i
L5SxIHRjnKGExOXYlFtl8f6uC7bLAN54R9fL2zq5vrjL60vcvL7QNSsNMJtdX/T99aU/Xy8AuB64
DIzXiwErZy4J5nJfCJebw38gG/+KiYtpa5l3/rmPK5qL+iP7h2nrzz/257Sl/aFrDDNLaxaYh7+M
WhJOkwYFCOwh7z6MWv9Di9U1QIz8T1MNYRl/ocWKPxzelYYDlEvwZ/89ipbg3/FXB5dt4BFXHc2U
EEBgaYkFsvWXV+8IqIYBB/mSLkUY7UlebgejyuA7i7NWN86eyso3tNKR2vbuRyLtngIDONM/vwLQ
Bv3/+DkkcitwPR2XgPYPLaCaE5D1gN++o78m3bW4XnUt2RQcCd1NGB71aleZF0K2Z5LVpFMN8Mxy
QWmG4AmqWnvsKgsz6W5unuforPGu1OKxxPyDXuW3xGJN61gKNo4Dj6tutHdTx/HtN1zvFzyO2j0N
TXwzwdzDvLomD3ohEnE7JP5BauXCpNz4TfaiZ8EtuRV8HEby2EVavYaL/kFMqfBUq6NS2uxHgkRB
XYK87BuPCoBJXxXRawN9G5DPJvGnXRxoF/aCjA0LzIIPttG09hXvBpU06FUbi8UcG8ObnoFgY4SB
O8lToRS8AzTeUi8Moffo6Q+84w9NMO6kZh2o43XjhJ2xVT2Mo/FGko2sxpicAbjQFxTQSYPzxt5p
RkTkNTtjmzqYo/FDWAK45rtC/+9ygQ1a61Qb9b3pi61kIyBGBZqvpB/K4scwHelOHbPAlH4Waf8d
VZq5A8EgPDxGv0iE/p6zkr3kTPcPjrmKhOZ8bMVwAj/SeFaACDQI6VJu/QAGbV+r9zC6XEwspge+
5KEag4tQ0T7h5vJpMWJSC7mmv6Y1B3Yz2lNm29VKVeh7ah6qfPztM3s/NurbTIpiKlXsU0P5CtFi
M6G1yQo0QzYGXuazELWcp2uUyNgAT2aME1bmjW2/ntT+HCj+q1+SyzK1+5qJi1V594Tri5Hhu8iw
KKv9sWNARhIg3z7OA+UasCFrmbuJn3rO2L7HGkkpxIkVue5Xi69mFZpPUUae1Vfzbw54hLIw84oG
b7tUlXUWt1/qwm3zVR9Zbzq0Zr62MKsRZn2JM/GoZy9WXc+3cTIkL/1MS2ui3/lcdrf2NDgr/L8A
xKTpYV46WrnjmVUOJyJ5NTv/BzIaCbfb0nhqQC6sRKUs6R8Vb5/F1mCY96i0L7rIh8WY5FGHdZl9
66YfKUsw6X41NLwQFA0sMErHhbRDR4Q+FTfAM3cdNiKaJsJLy2puTbnaTtNp68S/ZrBxwTtmh5c+
EDcscDAK7QGDkMo0S1h6zgXOLe4Mf3wp53Y3J+Yn2zeiiXm6ShRR00QsFmcCoRX6UtfTiKxhR59G
am+q5KILFVVf3GUZK5wCgASNZqqd7folwdyy9oaI+aJQpYlfZctXw8ImL7O9RgnaqheA2HwimmTb
DqHkXijnp6iXhld11ltEusRNIrZss+FOOMhBtdxastlKObr5bFtHgpTroAq/zF6/CD9eHid566is
OpAKbkkn7cfEeYePsI8647tIxD6u5rtp2csRHM02SZrvjAX8RUNnvCksSG9oKvcUwzU4pdTbgCUX
pL9LbWLkblQ+eYbFQFX2UNVOWZQPRMm0gSBDz8SGN1QxjYtRg1BLY5CBOGkiO9/2IVU+kREKlJvy
szAcDzX5mZAez0pTeswNm5R1hTeNBWmv+glv4a2ft2/dlJWLnTAEj28TAp4erIE69dE5jVZ7pKiF
poj6UVWcW1pM39rUeJet3LCcuIFc8VZNyUsyWdm2LfnvwIs1KawRe3Y8ViTvJ125d2w+nkxU+HzJ
uXQgfLpkmleVXqCxWHVM1GDYD6q9k1LbznX5qyXZliX7hx1ANBgmf5+XoTwResSyU1FkICr7B4H0
eVxqWGAMrsE6bSoNDHCop80605DJG5Hv7Nn5kEuGtmocvn8swVIzpCcpVp5kQZ6smZo1T9i5ncQL
mf/PySIDqYNvcNWs+YgTiwcDCT9soYs4/iVXGIEH+0btW+jRak82zGIyqpMTwtZ+DvQfoN3GSq2D
FEhJczPzsSKJnZJ+2NSJyaK2GGZKKLDwAKqwCUgFhkshF5v35Mijt2/p/153unJhYc9WOAwSXDXK
SVepq4kCopRFuWXCvOfu2vAxB3cN1rvK4vtQ23ySybo2rVPnaPti1g8D7VRpfTDDJeIODJl2jRVR
+INpvHVaQtV7Q0iz3tJGSfYedEHBIaQWuMFCf8tS1SuL97DJGa6sl74We+gRXpvqR8y9u6EvN1SE
ecLhkm7b5l6NwBTBiqYf7qHyB49b726KziA+XqYMrt+Q7hy+6XYqXru0vUWP2CXgOJC2tlHrJ57R
+DvqaCBm9PWj6bcfddJdbVHJwaxfbKcG8tCtFmNj7oCKTbsbYd2MM6k2HRgRMeU7eLUnWtU2PSXF
KyfmkVcM62KM4U85HeFXrMn13Ybjb9bPZ9UwN3E8r2pVA1RVVGutiz2shUfubywpo1/Wtt9hoN9q
ZnvWzHq3ePnUiWpfbuoIW86rvaA8u9/WEC4u1csM+qEx6rNRjTyExSuPyDOlUgcrfYfsC3Mkpy0p
9lha3nRqd2vF9CYVBseLH54MDi3cJXd1UxysYTx3TuxOZXZLNvA9C5TUmxT907EqPPGSZel0soKI
5pRYQyoSGNsIwYnuo5u71zB21khTu0TEX3Odf7J2OYbKyS79VT4C+oVdRkKrZO3J0JRiKsd0P0QP
MjtoHApswvC7lgTHQrx9ervg/rPtoJ3m2GZTmd6qTvTDfExPcwAZwOf9WbRbc2QvTV45TNRTERBU
Tx142Xpyh+MepKR532U9BYNoLln7Fp7y9EY2TzFkda1SNmUTn8u4QSOhsEnro2eCZwR5Z0ZDAO5D
fLFmL++sLUmyXZE137pDICdKdmPFB0iQTM/wyJhjuneqiK6W9AjbxjMt87ke60+n6vx1iz93BSDz
2aiUxjXICbpjnD2xWNfv0GKFay6EVAIWXGwKoGeYetxBqQ8J22oaExjcdOOCHvMWxBMCTffS9P/F
3pksSY5cWfZXSnqPFKhiUix6Y7DZ3HyeIjYQjwnzpJjx9XUQJEUyg9mZxV6XUMhNMMLdYFDVp+/d
e25+MMg93Hi2ftVZfazGtTOOAGHtmsrhwIWThsnzAOiKwSAEFBVYTvFIRnQRhO1hFqAvBqa80XUY
HT8YYbv6Pq86EV3++CNHbdwnD13jn8cCMFEHN6I9M+SHeUmIy+O0xPuq3ccufJGwIsBI6mlLrhLn
B3E2Zv/YcxSt3atNOh4W/yXy5BtX3cekN9kP1CGJnrMkO3SWc4SqSRS52gPsvJnM4mEQ94XFC4QE
aEk+G7BmpkZAO+vBlTB1GLujO8obGtLRxmimM+5LEYyN+8Onv8PanCug8oKITF2hROMiQcRD0t0k
Ygbjpp7dMdoru/uAEbAxTb/fOqGZ0PqBnGp4b/jaK8h0r2BHduRFnnp58RmFJylblk1JOqF8Bznx
JIrnwdlFhJePQf+zXY1mDAdwUbxEjB2DEvMDHk5m0B4nsjbb5eyFZXatlVt8NRz01SWCz1MYosJj
m/a7d2fMKu7oC/ooaOzBkHfzjxI2zb2fmurKpGH4NiAr26GmNQ+Og/Zjs7jhEIS9CqRyAEoxuvrq
lnn8oKzCvZhNRJuVzb44Ir7KXivPV7tcFP7jMlgr+KWLPxdUw8cciBX6dcMRu65Gtp+SnQyAnZCs
XW6VLNg8OQlvjo6eJiSDH6m+4nhfvuD3MI+FAzQwNFNB9Ke29iCcujsVz/pslmlxAcOjn7jvUR9T
mBHShO34oSky61nxGwdEPnC2pDEANdHWl2qwI8DgKAM8uij35WJM23AW6hShQAavOuT+oa/q5kqc
QLTjrEH94PjLyfDr9ipLLzznum/Pfo8fmiKOq9ekfZ575dbXDtcQ8I/5WqFZp54BJ/RUqc57NbU5
f62rEhNx54b7CAPInT0t1afJgtiakvuGccVi/ShU/V9U6vbvRm45xE4NcXpn08p8dvw0fvQtc35o
cUjfilE7j4OdTncafMZltl8HlDU4XvTBX7rpMQRA92LY9jzQjJnlJ0cZIHfQJ2ztZcpBmnn97Zgs
3s3Mgfk5dhLvCKNPoe6dEPHCNL/voajdO6Jr7/JepOQxzMyoHGTPfrQqZSvV79FlRAf6krDyrBp0
MsgXGvES6r6dFgc/Ru6Bz5hdhbCMeRNHoaTBxwROoK97s3oaQ/jLi8+pk8vbGqn60U49cTEWOmbu
UtI7ypP7CgVa3AcpOJ9gIEDjTsqZk7Qu5uGJRNFgxsvYzsUBLy8R0M3y1clTgijGlrDEOhwIunBf
FHRYUByf3CQ/2k5xiitAcWvgvd0lRwhol4ZIVSzzqyqEIAJTRVvb8BFZcf6a3jsynhMNcDPohf3N
RQVqoYu3dbZDuhMMUbYHnoDVgaEIIAtnIuyW1v+timzzUIb6bZLVM/K5U2Kq29zutwQEBnFq8Rv3
hyG7laZ+FYIhWm207wilYExFBOLpwn0e7OElNMRdPQOdJvJsk8TZDZjiU6TmO9B/w6kWZEM7hsyP
RTlkZMvJu1n1m1UYH8Al2vlNfG2SsSUUiqKcocCml/Ye882+bA25rXdMA/sYAlPVXvx4NUCrfZSX
P+qyffnrZofl/rHZoWzXcRm+O9w1QfkK0/+l6eKS55h2DpkPbv7GNT+5LFM/3U1jDVtC5PPZdNcZ
bhUtD+xP8eOYuM6zSCFb67ABR9a65fCusqH4grZ0PWrWVYOI2r911pUUr2sqW1dXs64z8XPFrWuv
WqLsaYQ4RenM0uzXNYojvb7O67rN1xUc/lzMU2S15z7PcFyFrPV5XfVqXf/aJ9qyIHSGfIHWP4z9
CMMtJNLzlAIu3pZCh/dIB9AarXuLWHcZIC3jKQrZecwuJInMHq1nD5nzQyNa6vMojrsnM63aJ7Nq
iwvde32ukRPeRQu3MX/d6WTosOetu5+77oPOuiMaUSW+y3WX1HOXnJDgbPy6iWGnrZspQqSKszMi
zeLnZtvnUP/mTMWfy5o6A5O4/2inmb+LLZm9DlbMhWEc2b7NeHTxD4/xgw1v6WvoY20sGiIna/Ii
3J+HQNVn+PbWkwEU5/AtXE+Laj03IFIwgl/PEnxxuErW80WsJ43x89Dh26xOKPXhaaxnklpPp3Y9
p0Ivj1drxk21nmHxepoJjjXiwegZq4XkHZqEFwUNHziqFO0riD/zXf3sNs9JLt9mZ+1BF2s7evQn
HOezRbpaHdGAyng3d707IDcoKOBk4q/pGiUJ72v4XIx0R9Yyvq0H3jwrb2Cg4axzjRjAAgFE4Ydd
OH11rCBxcbmB2rdvQQjrLRCB9SdaJH4EXqFaj3PaAOnJQCmOg7aq8vuqTF38HlJeipRN4uCOcEgw
YtlUCkAESkxOrp19scz6YbByn9wShIzNPg4t6hJuCwFc14yGV4GZMO3I2zEdII5D0zwSkm0eR0J5
9JrO05vk9CRrYs/C6zsjoOCwmXY+oT5p2jznHSk/xpjqLYKK4nY0AdApLuzfucS8Gcp0rlbv+7u2
tl+GNTtoQAG+M9c8oaEjWShZM4bU6Bo3KpmyHQd9i08tS569NZXIXfOJyNR+TkT6rJokBozhZ8fS
o8zuiTWKLIFFYoineO9OA0XPmn80WO7nBBfdUYnkx7xmJEEQiKmKyU2SYr6BwUlgYsH/feTFCFJv
eHd6UZ1LcBt7fNvQaHQlD+Sh660Y/ALrlX1QMVTZvBzxgJmNs6eZSlvFJP1hnWf5NBRNFyYq1cdL
XU2vlYRWPhJ0fSdVHh/svh8I6+qz6gYLI1aSLKoOpG3VO9QIkF9St94r4IXob4d2P0jWGrFfNiSa
ihsYQcdEabefx3Lw4PFnyXuylNgzcioIp9aH3FMdkTmWPoRLDhJfJwzUC6aXWrREA9d4heFfNIFZ
018ka9LmdPQLSova5Dp/j2AGpbFFxUTiD2Z7FVb4Njq+4Zlba7jeB1p/eObvOacIRiHHLokVL1jD
ykvVOeFJ1hAqa47daxV630TdFs+ZRHSnJjYUo8D3R0RVarnPMKNEMAm8hdKI7Nu6QlTK5FlysYm/
tTCuEPugmMiatthSFQhG/cmXeZbvY06ybHrtwNi4nUyCufTuF1FJwlDLH267PM6icimF+xJiA1EP
+Dk9uePSEd22Wg5bTCwkKUF4DeCYclhVtn4amJW/YCoFfuCJrwiVLEbf6Yun86PQbFyGpUZuxrXG
ySvim8izLiDtiTm3WF+T5pCoDMoBGtK3Q+gw9CTfpSFSaahOMTmvxwj/03uq1ktmZEEsgPjM30Mu
sgRpNyyfMbEVW8u3YxDDuRHY6PvuPESPHzBxrFNkuOYlHv30lHd2exdWXnePn7q8d0JjAldiUT3J
xsOGRUU1rLVVs1ZZ1lpvjT8rr7UGk0bnnfBkGdvwZ3XGjmu/qLVkWwXLh54n/r9jrP/JGEtSjDJP
+X8Hwdx9S9r4DxiCf/6Vf2IIvN+Qf2AgwuSP/+53akElfrNN/uPQmAccaK+Vzr9GWPI3SsSVNeAx
ikfExxTtXxgC7zfcYsLl7wjfRjHo/ydqQe/XwEPbVY4Sq/7QYphmIiP54wyLgX2jaEks+zqvCE6o
CicvNxrs7pUeY7zTXuvv+1qEO1wdHAeoasIbwc1tH2K2vBBELXYhF+GQvTmhWxjWEdFYtMupHsPR
0wdZOvrKzhB7G79i64k47rndQOU6g/5p3rlA5tteoutOrBwtbZbqI90Psu3afkUmRuVdYns2g6qo
G/ytY9k4Sgqsp1irZ5tOsrSRiZzYjO1LMiUhbpnabkGqWMaVoyvjxpppIKqFPxnfw7bX3I5G4X9J
fA2D2xwpQBxKh6r3V05sRiiiciz3rYV1Pe2gNjJdz2qQIEQGa4oCyX2D9mZJ+6LLP42LmVwTnTyH
esGOGhXDCReG/nDdhbGbJGQi1N2al27nqzBJHtDqkN7icfPBfhVzHTDwU5M22MGS3hMBt+x8Ht1O
oHUHj8PoA2D4+KiRjgdUZ1eF7P+CUwfdW5t9Qwe/uiCwesK1S0+lQMRMOTN/ppAlqZHwmwWlJBnJ
jAXw25OgYlnnrErSJcAhQ4+47Qlu31S5oy5GFyU1RiMDiUaOJACy7DQycSliT72IaDHv3bmdHulc
5j5Ot0S2MP+i5i6DWAqaopDtR+XFY3MawRtf3CiSTCSqMbyDo7maRRqFK7TQqVdfGEbkkO0wwNBt
9OweqkEd+fcI56QVuJ1nq32JFPvcTm0ahDW5JCR+UCGQ1FIkyd61wXLJMUvhRrbyNiGi5bNBl48h
41ge8PRV60caiB6IfPVSd62zczo13WRtMdx1wsv5Kv0BipQ9KTwoctTDkxJgNUlSs+Rbj/rztUIr
wdhg1OLBJ5X0zpU2zAomB9WxBwF+LHx7rIOxB8rZmTL6QkIM4jiMUztoO1EDHmieoc/xkYY9HdKK
O2C+kg9dN3mMvV4xo82oyMFk7aFLFcDGsqE6NrVXXYE+d3AfnqROeuCBw96Dv1mNzUR85Dzc9h3P
WMBP/gThqb93Kj0Ejh1j9cdgSG79LZAFQQDwtBC/k68ISoNHZuiKkqFAzEoyGxh/B4LDvp8nMJxa
JyOjEAPhaq2lRlBPwg9p9/jUuL2a43cvDT+BKNM3nLTldWz86RTVI6akdPGaY0/IDklEEzUWoIyW
K6MIab61sP/LISwvfWJglZYjpUGgzcR7KJO8fRWZpr8+4ZK7tsyu3idpo74VugbP5HGrujh12E+n
Ucm2B6sbuVjjBkvNn0GZJNYTMQXjtiWp8Rt3E8oMJhuuW98o3n3qfAGaR7wZUTxNpzj1HIKUo4FU
1sqyM/Or5Yahz5ANMuiWm3nCV1FlCDh7TxXnxOCfx4A4zC/kComt03fFm5CTXZzjKmkwYGRZin3M
QUyY9GzTiLqYQuw8p8/fUJyNh96HrRWw2b/2jT/eCKtrbw0q55dcOw7EZ6QEcDLyyfzmeal3aJkF
XrWsCKmJjXA/dCkB4xA8rDtUA/OXEuDFp1xPeeDpzqGDqwZ22JqmIHrj5zGhxgmY5znzFOR2U32L
hq56WGw3/J4a7XzM4LJ90ziA8J6Y/MMYN0VEo2yxpwPXVKd9TrAZq8D2WhUR0FGp6XFuGwz9XttO
7p4b8mKfopQxdQctadwlKR7XI9JhshKLfizya4mNUJ6K3uqLnSOTsd+ILFqemSSsyRWx3a2jepdE
01bZgLskeqIBjZGfXSdA2BwvEXcWEQPQXmiLMGsNq8MMqgwuU8VXmUd3eVvkN1oRzGTY0zRhGwVs
iJKI9Tq29bl3U5COve+Oh3maiise9vEFJn4EE9d3481iy/pzr/k4gc5YEpt2RBe59frGukSEexAG
6NHBpbVfe+kxi8qRjjPytq8mwtMZMN7sf4kbg05BnSYjTRkvRkc/N2bpH4DrWZIbzzxDdE4cnEQZ
FpbH1vNabs956sWX0AV4snX7PoK5ygaf3HmVqWHNoRA9pQtMdhoX9njNGXIhMSDdXbRGcQHEkcAD
ZPYLIBAMagoBe4Pvpnv0pr7bt7k2P+i/PtqY8Newr7B/MqcMGllkrHyIDk3zENDL8doNRm73Q9NE
zLcZU5433Ts9En2XfI0jnf0BT3Pj0nFr4xW/asIICxjaoGMVvvlC42586mARZvBz5u6J1ox/aVjD
m8mQ9qNoG/vNaP2CzmFpn1vHQAaTIvgdx/m6+Lk9BUy8MR86GRz55Sw7Fiwzxhz2SU53jwPHhlwg
l9ZdSdtFC1GQrxINAOased/q0cCkkNvWDwqnud/XhirmBysy4xcntob1XzfVBQmOGx0SuNQv6ZSy
33mQaiH1V3gXaYA13Z1BIR5ujEH6b3XuF0eBjRYXgG026KkNgUSdINtw2rox9RoaPQCVjJ1avugE
pkVx104DmDY1tDkM2cy807TYZ+7wdAcCPcwlNYQ/ESPl5Qx2i7K46+VioFAMFwvIu9M+cc80PoBO
Obg4+5ahNVpyNhqziG28whIFM547plfEXp3D2DDbo1tjbIUJ2rffW1T7zOy4dqhNiBHAO1ZzR/KF
huBCaq3RJKDczJgN210EA5u0K8arR1bnQr4kAhBU6KL+BnPLyQKvHKozxAyrDuyx+YqKKj/WMDG+
9jYDjEBNIRMEqFSESnMyLbu6alIqh9SMPjlhpG8cMx1QC+RAF82ZoM5BVC9qbND55aDqxQ65lnMp
dIvKthjSfhtzSTRtSTL9GOr3pawqtLsrrWLo3f52yuAlcO3GhABscmJPwVW4yTG0z/sSFQx9IUJ0
NkbYIe3PrTQGQts0/aekJ46ZQb8vBAGDcnyf4wI5A4GGNNsNBQeZQXH00nOH+s7k1GJJD2Ne7aq+
WnATLiWv3hQVzXbpNGb6SMK3ZdoNWM4TdH1I2ESYOyASfx3gQ26Q+GKF5H66weRRB0ZB4NkyxwcK
0mNmZm670Smsb2QDNeF1C7fybOpgCikY2sBp7Z3ZgiEgviZr38bEZy4SdVPAuc9+kvFWniNlhccu
ymv6WNH4zMgeIhBcz60l7OmT37h5jprEbL5EcDBI+4hj6+tUVGCv1nDhavmE7/n7AG4GhYMZkV0n
B7FRKyAK5rNyfuLroXLj2WfYkMTLYZ5jiXq20+a7sDmN3lZ6TQE7y3Lu8Zmr05K0wHYtncMljbo6
FwRa96iZer/MvtSRM+GiZoPYjnZF18hVsQHOnoTyo+a4CDrOgNOU5PVj5SfjKy0HtGJjLkfMvFSZ
RlxeBnRRBjIQ7sRHoy0USSMAIIpNKf3xGRI3DG2ncauD5WW0agVFgkwy29nSXjK+axvBLLWGy789
Kf3ADoQMuTetGo9SVrX3Zj36N7YJumiLI8y/z8g6eTKF62SH0EUdjDyibD67ibdKHuoUtTwF2vxJ
gbb9CoOJ1eF1yG4vLDwKw6SMqw/f7dtnRwzWTW9b8r5A/feiLAU+E5EbpmsrcmfOWWD5wYCn/4CA
ZTry9ozxvojN/ptNLjNygiXxL9h2C/qllQeHlAhLxSxutqDyp5iw0DjJ+JjnBRoYo/Wid2SQbjDz
qqCy73O+wK6yuo5GiSE+fNX2Z8GU8DrKAj7LrNYSbOgi6oFikZriwAqhPa5GDBhV7Q0oVRDoEDSg
HS4Yzv1DXNrFdzaJ9CMdR++akxdtIXVpyh3PDE78QPOOfp6ICatLyjCE/lC9tm46XFis6GaS0QiG
2hJnYaG4V1ZGD8rpxx27arkFNyHFljAb5t6C0G+M68scveCr8r9Ffs3S1rGbfZl6J73RtUOD1UsU
SeJDq8UX0iXrLdZc0hyMjK74zL0R9ki9q+R00eFM6N4CNoBIwPzOShk1VZ6bIkY3cPwTRMjGUlfp
adTIyRlbNR9+bno033rnMwmfy5cpbwpSgtQcrQmF6ZdaVuWWJkv01BOp8C7DwnxKxoj7n8cZcjsQ
4T4eyAxpoSN7EkYeC8uUezB14MESrS+SZbGbCoweCO2Oo6IoKMsnRgs5eh0+94PvCSKX7NrCbUUu
3GWOsNUH/dTlRNRY8XFaKC62mkb96rlt42+MwygWCXbaNQ5KIWgVS4TprowvEXDAe1eE8SnnC3gm
yCF/Yr9ARGDxMaiMmEEPa8x5N3LgovoenuVIWClfaMj165OXsttOq6esqZa/GdHgp/y9KpY+BiZG
32GEzEgaie06wPmdKhZCa1NYgAIOmRbpQz3imLVjV2xp+3nnZMlhgpW4+X7Xc/kTH8wfXTCAGn3P
tCwcMOQ7e1L8KoGViahQ4mXTYYyj/IYqo7uHjFdtLRPeHzORfs+VzD2149h8/+ufvGIaf2e3/PmT
aZsI7Dc2cwT7l3lU7Tj0mot2OTSqRn6pPHuA4OYaFz1beB5pz5ff/rcV9z9pxVkuKuvffTnbj+7j
v/7h/L39KL7/3//z9r3t/mvzvYw+8t9Lyv/59/6pJzd/M13G+Lbpeat51+JN+kcws3J+UxI1N0Jz
ohv5X4yz/+rHeb9Jy0Szicbal55n8Uf/cu+K3xwOEqk800MIQI7bf9KP+/eXiR6hZP3gLPZYO7+Y
uTzbiBpC/RQEoz7bN+QIAZNzky3Zi8A3y/n0u8fzJ6tGrMrwP768yhZCoqLnifh8kD+u1VROoeWz
ig8ia5nByyz9jsK8QdbCPjvNw4gEmPxk6nQfMCfbCBeSlP39ddFhHoyDxCY/hGr4m9X8q7KeRUXQ
ojIVGj0p2Ut+6Ur6bUvhPRfqgITqc1fye4jRUAQXOEfZ2WffXyrSDy29D5OcDOD56mi0On/9cPhO
/+3ZQOOXpildYUnnl98hU40bruC2Q51M0NazNjwzdqqe//qn/Mk3bvNRHUUZ4rFvrn/+u93S4yGn
MWKxA9K2o5OB7bM9rn7UTpsGLeLfPNg/+UwOxCKLb9yRtKR/eb9o8AhzSpV/8Bm07cmdoLbva/k3
P4VF+euT81kRPv1rAkiV/OWtIodXNPiSvQMdYz5GNoM2yfvHoUi+/scPD0O9C1KMz6Pcnynnv3t4
jgGj8efrGyboxQsj/YEYBYwCORVWmt3+f/wwzBXMA2wHAcIvn2rq7QrCku0daCSZeIRpV8SDBPuz
uDn6OPf41z9Ort/FL2uTIRU9WZsdgX3ql+8qEcpe6I94h8awsw3EJ/9m9ELzMRexSxo7BVlNGs0e
mS3WjSol55M2/Bd31UERWN48ppnSOBYLhmQZrgSGwE0duJbKt45DmlonazAnKi795tSnZRJYRaG6
ja4XLHU0HOl/dovYUpphEjVT90FzL37468/4Z+t8baBK3Pfsxf/2PoKQk6ODjfoQlbE8pY6hTjNA
1ABa0osBKKNOQ3K1dPQDqme9s2UmnwknVX/zqP/sfQX2LBmpeCYThF+etE7pXjghiq087+3TZCe3
JVRpxoqxG/z1B/73n0RRxPmBc0mhY/n1O43rGNkVorWDR48pmHrFLb4qPtN7kbu//knChRvx6wsE
vhJXEjNbJLj/+PPfrY6mEJaBHN872P4gdwS3JaS1yeleMtB+dA1eBNl0zxHs3l2K7TbbMoVtgtAt
65EwRdSjPr79A+pu1FrooNynPhmcD2do1HF0GX8EVtPPTwAX7ZuO4egli4uEIpUoFGCKfTrtc+U7
GBQFA+rC60+mP6sjXX937+tyPhhNC75WN3JnIQ5GEkxMt8ApVYEUGjsiRqNChNc+Tp07+KJ4SNqY
vNUIjOOWrldyB6Yn/VgttCd78FEZ54Stzb4Dxn1ovFPWdN57Qv/ybgTXibcJp6wBdHDj+No9K1OG
V0G2u4+IcpeHNWouJ8F3SiIwBqK+fralrt8lDFHk9CYT/rgpKePnhi5+BVafPgotCr/Mj4nZpU+G
WTd3yiyQ2k9ePW4zPUHsnkarAfg2hFeNyeAVMEJyGBiFfHVH4gIxsFifMiN9A9iIFA3riYuuT99Z
vrZuvSLewjTDI2IU2MsEDEHcxvJRYDwGZBi76mLaVnu3DNwISS93D22jswMfhxbEADgshK+2bRf6
huehSiYTASY0KB/BBsRR4vN6hm4IloKe9tEhb8bhOyUTzwSJE56xkjgj9Hq3TReSHelYsj81ld2+
ibYcXtFlpQ20M8h9m1CbProzlJVgJPzuRXFxPfUIS1C5Mk7UrmMzv3YLnJpmSORVhK4aBitHP6E3
ogAOQucTBDbXTEKFfE08CN+3bAceH7My54Pr+ggnCFDcxhxEsrMpuD/FtQSv5Uv7kxU3OAoUAtA7
4gtMh9tvxs9RvdmqgM0DfJC2Z430oBj917F1uGxZFiPOwTRTqD2rKsELHd54f0jbpxxjNFbveKxh
MenwXHB5zIXt/SDZj2BHs0/KaAuACPyIApyFqTfr5xuZFYCW3M6ttklOul/oRjjxCfE6yIUCBySx
LL6gZxt8XGqkw/i2bk7AgD2aBll/HEJzuroL6W2bFHsxij5jxVcDCtuqMrxlmEPiq1Ux8ZxKwe8b
jxrhb6w6NwkgzMX0iI1kuWGSte8H0ZzBE2tuiGXxhFyNwWEy7yduls/S9KddktT0j/ndkAFV0d5v
yHDkIlvw/U4FLqaJ9yOHwYcjLO8ZAVSRQOSFl8eam+8VIN5d0uuE+rRpPvshbAIKVKs5YUNCTmFw
/2Y0SyCHWJzxYCjX3jY5YAEwdNkVEYcPn3OOQSzgvEgRRmysNik+sH4Q/1Ci71WEXX/LrMVZfRHj
+DCkJiguvuKn0LMIS02MfDfO4COMiVOYUlR/HZyieyBedj76o4H3su25LstI7JVpkakr/T3N2/k6
LcK+hBJXNBa1kd5pir2pPkeE9lzaitzroFhGLgptRM5cGr5E80DakhaYFrNZXrTu/I8EwPmLXJxu
l9O+dTbgT3qqch0epelUx7jowDlhX97Qb4jOSSaGrVtTHBfwhy9Rje5Q6fasKog8nHozQ6e+P2oC
bK5YH1Qf1Pa4bJkR2JvI1bRdPSNfnXNptZ0KCm/LWW5bC6HekHrLExqR9lovWfJlSthxTfgcAcd8
ciChdmKaWo2nVGLPqyMz2gDd99EG28tu0jPcj9lbrhFwyJ7L/AHt4BT4ZdgGETbRvHg0zSw/ASd3
TyOeF8YL6TZa8M/lPVFHleWO30G80w3N6gyTnOoN8Q4B2briIrqO8MW2BJ1EwTSaM86+WdzQgaWb
RZMw3+ucnEInr8Z9ZSMXaEXHhUJgc1u0Hh5DwjWTvWYetcm7RZJQbPyYaK8Wo+c8UyQth75h1knU
6evoCli3dPR26AnFFQDuQ53oG3z+pIgJow4Y/CCbIk1FVBUYbj65RdRjQlw9FqoO56jXbgm1sXcT
vprA6kfrthn78LEkQ3vnhdF8SZV9tSvaWKjqyQ20XLD6Y09+oo89wUOYFLgzhAanUXu8ePTZ3Wl0
36HEIhzIo5nxWYgKT5lRCI6lNAhUqOayfqEumx5kmRAA5Vrhgfkr2eRsNreYHuvVcug/ESfjfNL+
OOhtNuWap+EWeEbapUlh68GK97YeziOTubLOhp1b8UQAfy7efe6UiHxBOum3IdbtFwm0gVBJz9fA
8dN5Unu3xHbTtcuPWSbMi5AGIJbrP4CYETIw0x1kWN7uU1tD/Hb8BlU0o/TK3ppsPrcswuawpG0Y
SEymn/BlN2esxNFG9GjcxDw22yyP4n2SZDMdP8UyHvVFLyHGwBxxuUxINvWNFytnfm5xyN+7YHT3
LdjzjGGHKIkrdgkpTzEyBwvkvifpmk9e0jZHJGUAyzugdCB30vM0t/axaPr+ROBwzC4PuungOrwU
A8LJAwR2lyB5YexC3aIJrGV+M3eFvO/rPNmWZlx+qhQ6kcZ2dqExpxeaa8DwWr/6wYGEubIc8+Pi
msNLhD4HHxlUqO+aFFosySaz6lS3iCvgElEzOvOeQWJ1VHlVnMak/VFJWZ2nMRRPlvCbPRrie8Qj
2XleHIdwGovYCiGM4XXIsuiHs2R6F/Pd3DVqNk+e04R7qFb6cXHyaA+e4pvGlHMrSoOcwsQvzyig
6VpnaY+lZzDpeKXVHPSo+XZERj40CwNdUhbkflHDtF9CB0VHZEflOcU8woBHmnth9SS8ynTZA4PJ
LlgjwVt1Be7wACICJhEnrL6SoZVfQJFniLw7nojvpvkhLH1xshkUE2vpXjK7f5/1VF2narqdCLX7
5hR1f9PUVr2NRD4F3A1ve6tqd37Yth8WU75DYTbDCSfGIauMV+DJxIn06D92TRmW5yosgCDWOI+j
3sVw1E7dre+N1cFc0R6AI8/lXOgXu44VmfZKbht/0N+aclw4uSkKNjIBfVT1EZxGyd68AjZv6bJH
D3SjMZuZ2AvQqhjZxjLzaksjY7ifYv1Wz4BmKgO3PHSyoMCzVsXs20tHdz/vp62uJpUQILQcBr8b
glxiYqRZe5ULc2GZJMkDhT3EzYjIrnlBA7UpLSU3QGNfyWFM9rVXEpRofi3d5NiPojvlPaoZL8Z0
T8hwtFOIUTn7JvvYJc5yyEFT9D4x2ZXj7Wd3nmll14Y6+xVOLWlhsrDyZyK6yMxEUL3lCrVFJFEf
KOXR2UZ+tHPjNDzEgw9cnZ+/0YXzFVx9+O4VDKdqk9U8Qkxc0uUIt+xl7rBztQNWaqN/Vakc7mOS
UXm0n/wOE4QVG19VUr1KK7uWifsUEfiFM03cEX4J7ug7E4zh0OBRXrnrz51L1AMg5XPteDeJI66k
nqKv9fr2hpD7G80bxGTGZxAzWuprNXnpPpJFwClFXEs9HCy3Kd4W6xutuHyvZIPPAyESQl9Cu3pn
NvgC2+S5B8nDLgaDh9AugDf8t/nI6vDzVDk3MR1uW5KrizhFB32u031ZxC+x9KFnkeGo0k/k4J7q
DnuDg1nTcjN+d4nS262HcYesBy7OmjYmDSyOtkP/Im4k1Oax2Y9u/piyqtZQ2C+0HU7uOG8N1eDA
Qw7SNQOxImkcHmkZD3elHzl3c+213zt0UzTNIMuGRnFGEOvuh3BcDsUYfsksj4s51/1neGzYPrnk
s2TJNf4aL6LeF60dwOJz9hoi+XnOcqy4QPnXUsrFd2vNcJYRyG7bqSQaVqCA8cvyiixuCtpyolap
QfJZhKYcjIgrQjsmGbd6gxqGD5xib2YrwDaKcpH5R8X3zb2VuaXhPSkXf5E1EpMs9eehWPZtR51f
EryMUk72Gydkz4ekEmAifkQWcbXS8K2bcb+6DHxKwDlBZAClSr1cn+J4gTNmly9mhyxA49SVU1q/
pwIjvfAYCybVF8+w3/6bujNbkhw5s/O76B6UYwdko7mIPSMyI/etbmBZmVnYV4fD4Xh6fVGkjdg9
FKkx041oNBrbuipXwP1fzvlOUIkRwh53tukkv7ShfOlQ3d2RmFy/zAxDAVj41WHQqX0gWqLdAus2
LGZl8ZFPatxnXlZzpLTFMWwEfPywtzZ9raltw+EHGfHTHkII36koNLxgEHE28SBZ7bbbxa3Ur9Bk
7m3ezlR3gQtDVYh2Z8EpQJAsbhp6lh1y6eioCfXVKiCi3RnuhpEGw++i/i3rLFI4s0TtGbE89grs
cMKC2Z9SuLD1eCt7S21nzo6tB+n5piWAhqJ/pm/O7aG/2KMRX6KW3wEV76n+h1eULmiyoMftnHwg
nSgZSYrWwfzkWMQXhE1HLTlogXgwbD9nvqljOITVJpj5lTq26g4OUbN77ltxxuMhrtK2bI51f0Bk
VGyDpnVuhOnhEUhV3JQgL18kguuXCMBFMtvOxnEgEGZQcV+R1I0H8gqtx66bhp+aZ/uO3MXgxuSs
SwvXtfbdmE37GYzXmlRmefYRh209xjibMEP+KXpScC7uJr5HacvwWbRw60H6EE1BBAmLWGZ868qV
tVhhJlJXCH+AlInq3fSUiikTr08oQM02722DC5xSaKRF3scFRInZYFMoC6EO4Bz8DZTH4NgNo3lX
i8GkOwTbitd3J6StCGkp3K0ufL0ZiBO/yxGgUy2W3TEMs2nTyOA+YxCFfYLf+ALJ6eBMvr0Di4Wx
ryAyqXVkfuPNw3BVCILfYj3vYl50eql6OLVFPqH/G6grkdrdxBpaOKqpDButrTfTwsquWy4K7dkJ
9nU1+ic+j9kqdpL7xScHDLJtdETmQbCJavsNpvz5jgbsUUvHJUC5wH07j19z7Oo3pFY/mnCpbnpS
OF4JfvmiHR8eYt1XGQBhS7E5VQRql8N0QlPy7Dg+NjLYJw2AiSxQ3lZmlMMSDc56SBi5QVbCYSD6
IcNPZjEbagbpbmslmAXVls3UMQ/WadTw+LRtB2ClTdIdTZ/3qtLB3vAIdsTWcE0jSiCYt1ETNI+W
3soUQXPPrKJ57iwdY4XKUMMTePuQTzkswr53txkeBbOCmjbclU78kziw+IF5XLDuLHdc1V53kTss
xXqMQ2QCnQpRdDbDbyXfNojn8mqaG0aifRJse6ut9xYqg3UnwR0Cy8qPJjOQ5qFNh5AkW70umuWH
lh4ZL0tq3rJ2mLEoFAMTjuBnOLcAwvwYVReWgK1knXlbuXiNy8nkRH7QaUVkL1zx+N3DG+rATjZp
T36yi5tgaortgkHh5EwTOimrZKJ6qmYFVYbAg+neFML7mgrdO0drKc1+0qGL2zlYwjf2oogJPR3O
/ha8Vf6r5SELMVDBJ77O0tE8LXAFQrb6iCq3kTUTw+uVQ/WmA0BvltF0esu4PCFJ9fbdVHE7mtLb
sDV5xAvKmRkP5ScQ/2xXRPa8iWbI+aLBcFNKiCdJ2ZB6M52j2h6OVejBLkEpwWOIXOumGQgzLhCb
8V2Ei1SrrOlJ0EZN+8InGp6Jd2jfysvZSZbHGdlRuSvwi13jHrZ3la1JFi6isXnHGeIeR792tosX
tmbjtX1ysLGlPeveLI9lMpHNRBTSDdkKAg+NJ5BAWwYLcMGUXZLcebC7mNyTMczVhkgWlGtwKDgT
UYDYK6utImQsMfb5NNTWNg/bHst9RvBPBfQfrR8ue9R76BdJxbJhOChFYjA4z2pHfmn3EZREP15+
J+VTyPlzVnWkvofGRxwDpbXZK37U0TX3N/T+3BkeEl9yepUPQRRjVcWutIYXkKzwzaDJ8EmNSG2f
cAe+HlymhBxN1pmBO4h7wlLldAHBsEfYWb4GRlF2/T6c0k2XFx3KNoIrLAuz+lwSlDfFfXnjp9jA
8NC8EO5aZJusJANb1l3wEdBKHeIpctbDkIxbHQNTC0k5eKClTHj/62Jfkwy+nfuOr2rM3rTh9nN8
NaPTuLC+F/21SMe7auZpIeVHvyiD+F6Pes+kFpVrlIg76TRyi8NBrBp1cV7loXdoSAZYm6zsETvl
D8HYqG07TcfEE7O15mkhy5upMDqiRN2EsnB+zm0Iu68uCEGnBjckeQ+CLNtEdOPJCwe1D8OLiDAd
RPSFyAQTtXG6V8Yf3T1hfuNDqqPxDRFAAW9Q0hczutvZ0xDeUsvhMuzTaFfz9m3E5HwTuDMc4sWe
b/0lXdDSx1XykxksFT7z8u7UuCmAYdi2uUBxgnJtp8qGVF+d9tiXSuSD4y80gva8FcRdiE2gEdbv
ax81EF6hDk4AOe+wGxFHRyvfKNrgssUJcDXGBp8XTkNWqvjWwOaH0JH9sngugynZ2lnUXxN8prHD
XTYuCelepsMgXuXY2C98Y6m0fPB158EXtcUtY5GQDy1jxheSiZ4fhqhzY2pZ4hXnHspEV3JMZw7q
LnaW62ZoNn7nTbdJVW3w2cmVdostHVCy7uDEqGV4bsY5fm5mDRFfpqbAhtZgzQrt5a1u5tcFLfvK
G1HdZFO+sSSsragb03VroN2nLTMhFjqE7eXWi9RWvonBrFzG7uUacRk8fKSUNdLG3djSdeHtLyBl
xTSzk2cxeMkG94oKFs1vjj152YmRW3HVyqiTjHZ03KyHCDm6J7XCxGllBLezVbHOBDCYlhgr5Jkr
JhrZoxu6/omir71yigBSVZ51j8FkCHgIx8CWuLtBE64ZeJCpsShnvJMuCEgOMBxrIu36w1CmNJHI
ezqUIok3HC3XEXjqxAU3Fkk8oyljTaHD4I3va9mNpobf0Cu/fXGXaXQvHUt1l4i0ZXCz9O6XcXqK
XmLW400XNwC7mCx2zxFiswxf+2WEXCLI+uUFJf5UHUXWvmCHwPXGvOTVn8vwjYjb8JqN1MUJYIcP
LD7Dq8Bx3Wfhpyl5Zr6VFVTVnpYrcDbx+2SilkIGMx55issIINsTODnI6QTO4te8W+BIm36D0Nv+
RqTrPite4RcwCOAaw2ah8Y9lfUvMucOKoS/wjPREpXz1li+uktnMB8Fm5DGvkX/CzMC+ErGo+GEQ
w9z6XVH9rMIF+WyRprdqbr03Zbk4PaRK648C6/Oxqz3+udHxxVhi0TCt5xrPQty1/mPc+lGH5ciz
PyQ5mQc9jCQ2yigL7krCfSHh9zK9sxaP2W5m7RxQkC9CxuOvtnHaF5ZIyWud1u27xbu/tSQ/+YIf
Z3kVUEkeTJMvr8RiZG9N6vBqmjwZ353BCj6YAns/KihGCNcWJAQu9iBPUsIvLsSbhkfk2ME84Eoh
Mo/Y+vkXuWMkJjG3WZMQB48VMXu9Nn3jvlh+nV25szA3g9bxe2E75VqEgFmEiYBkMmaGLWuN3a5r
h+RjYcjCC9BW/XvUjMkRp2NAUb1UAIUoAFejrGWG+8N/4vJqvqdGtXdBM5Dj4lAFrXx/QL6fUwTZ
pfUjZ9zTrtjDIwnkmN9Mdlrt4QhgjGFoQw4sW4mt23b1HesyjBVzyrzLzyuKksapu0cjNRlFZFCR
1AG8D4wBLOcbZ9TVladNdDUnoFJzr+2+Coo0UpXt0YW0jINmWTkEqT/JWAu05mXd3nBgwBr1cn5z
TmeGdk+bPKPFc3q6aDxlxYVsUF28E6i3Pm1Ej/cMrPWdEEn/6E9h++33CjeBaMrjohL4KJ4f3SRj
14HFCS3ILwgvf2HHaL9Lp9QYh7AZveMwid6KYcBDXbkh8KUIJC3ZO9rzgMY1IPZ4VGMyql3vSfo9
WSFR6+N78hIpHqxh9F7SsK6/mhR0QsxUtJFUJGgjicIDGwoDxAWZfLcobT5qsoVwsDA7VdRTIORD
Ru/LQY6M9XzsRGS66JkfssK8X6LC7RZxLDLw6nCBbNLQ4VXlZ8hsfrvx2bpyRqRNtHMhmZ2ygvtr
UzKv2Oml59FBt48lyIm4bBxZsojuIux4U+/BhOCRcM5ChQzswpG8Cz8I049Lsky5SQf55tmGKMk6
BGY71UP7kPGLinZeJL1nyYLQYFbowy9KI0Rq8cXlUPw2PFS/zQ/dbyMEG2NjdjzNhdwn8Bc4IH67
J6D7BT/Ub09FR8l/SiGrPWPX4maLMV+ki8XU3mrsmDQ58xM++LJic3zhiiPMf6HMeOA7YJlgI2dt
L+x85tgze5zwPa2W6mtIdcLIEtpyFhikIrZ97Y+MMLkLLsYR97eJJGSC7YAQHlh4uPyLJ3ucJrXC
eW832y51UdUqO2zHrZfljM4kSKdEetVViDuDXMh0xNMTCpFjzkj6z8GEhlsXAyaktjE3p7K0KhJy
x+ANgj3XR5HSvNVDUpeHoSrdr6IaxckQ6EODe0kgNhPMZ7ecyCMvRrMLyDNimRc1VzpVLMpClml3
Qcw4kx2k4jaRifxcig4OYOdYwyv+kJpgI6qJNoPeNtnxybe8+FigtrrTi4sPnW9bHg0S1htjCIJn
V0uPb8odllNrZbHt29PbtNjOXdn9wh3kkpJJIuVdFvm3JB/leyftU9zZsN3WjrTmA2A24unZ22eg
O7wPvxXmwQoK79O6xDDYjSAQiEg/5bvFM+6CShwW3cYMfwnRibnNry/wiHPVtdYDkVT/SojxnyUv
sUBE6XJxY6L1vIt84u8UC+Cwwq7L+ujS07M8pWO+CwlXvCUILOfeplS9nWyreAbOzFX6zwUT3j+S
SyBBYQuKpBrhzZ/0PYtjBVEez9HeBICB4qAbDtMg2SII1vaungX4ooyrtcUC8aUXrpRBqXrXTaW9
Uvxmy076YN1qhp0dYThVw4KpmQN3pynj2Tc79l2TapexTB0QfMCNuhyGwGuPxBkvN6PMYbACA9I+
s0EXpVa1VrpcOFeogLnrcZKDz3D29VxaZIba4LKhQK7UALRNaP+JwLGLyN7Yd30efBZN662tcCLm
CLfGqmgbAJY0Y+Eewfy/ItA6/1lGeBG+XuzIrsN08M9R5jWPEj8+j2odDSV9g7jzvNm0a1UYbKlI
lrRBm+HG7N1to8wpl8rsYiIWOx6mHgHTJsnTOCTcAxf/StXBFqD/dAXVhGjP2TrNpMpuowqfXu4W
xaGBMfgvhDkXIemf1FZx7LPQ8iL+F33ORTn3d49ezl3STfEQ78XQAZFoiFwH0rfM2Wmxxgd7noi0
4HKGcymzI+gz9c3GS0HLuqj1GLj5dkOEktQEVTToNv7Fs/mPvjis2jyXkK/8P4sEU2Z4gR3U8b60
GVSxikzja5E0w7/4NPYf2ToXFTX/8VA88gpwtNt/EiN2LIw9mXTxnvWnAePhhAjZ9aA281wFPx0a
eM7Isls3NqEjiZqCh5widN4wGCdPZXTi28pEaOcVL0vn44MaXSVwxSWLtfVy8YS/U7788x+N/WdJ
I+e1sMGFIZ0kC4GD44+/OMKcSfuWPHuTdDgUFqfx16FgOAhVh1AM2pCXuLxtRd6+VwvTM/Y/pIRO
VXY0GHY2iBnMl1/E8/Xvr+u/f87/I/1u7/4q1JP//m/88ycpdVjIgY7+8R///amt+e+/Xf7Of/yZ
P/2Rm/xzaGX7a/ynf2r/3V4UzvLPf+gPH5nP/rev7iKM/sM/bH/Lq++ZVJiHb4nj6fdXwfdx+ZP/
t//yb1LrJ9Mhtf74Ap+6yeU45J/j34utES8Ljof/My/hTjXFx89/8Ff+qs8Og7+g2cQ166DEBigo
eAaRXYz/87+F5CRFPgMGVCM8qhw3/6HPduEl2Aim4/Dy9gYOL7ds1ZiRlxEjz0acz1/EkYBC9L8k
z6YT+tObyNYp8B0XwaKHgJZJ/x+ftjRNIZI2DoMgNckDwRjqg5UY02kcXHduZcmT7oXZVOSknpqJ
SFXsGjD15qg4xaKBzIML+CVqjP8VD4LemOJ2x6voscQr5pNVNoSceFawwi2cEKNLZ5LOywej2jsG
yxsXThEqg/pkwd3f6DgKV2GbKAztcLsNWiU8fC9O630lnlq7KGOOTPb6vQO3Es+sKOddz+AUKHaU
4+UN7efKz5FV9+QhHZHKNTewXpZbfBr1J0Qbwf42CH6aHEMSn0/fdgS07JyLRn3VBV764jC6WQ/W
hJfQqHwzxEn5w69VhVqEz5oQHw1fCyXz1yQ4zTEop69eLfWV1VyCWwLkMX1TI9soiXE2NBuFTVyN
HqL5VllRtG8zf3Zpti4AdfSI6i6r5vlglRc6TarVA804YL6gceDIjYXzbFjGkipO+mnhgofJPEZc
ydTurTq8w2A+PY9M5b77Kh/e8kB79zCmaU7Eha8cwQef4cRuGRXkj+BrnavYMSAqp/6O9pdFPoGM
V7B71Wmsk/x6yqLmRQO+wBIuyOSVwD15NNZD3xcfGkoLgKgI42uf2zahnDqcHr24qNlFZ9+Jh3xk
QYO3liro3wLyJ7E2m+4zWJJfpjDRsgnj+TVzukOZ+UelnBKqnG3fA0UV2xz+2V0R6vjNC+bumnrf
O7lETiK6o4rG4U7zDeSINhqd/pkmiIHj0mELu+j/Pztf9fsuSgnNnNmaldmgj7XwkrOuGOoj0ajX
ox3Z5JNbkINN+J0M0GjeEFMLhmBx/Ig5uT1WjN42CzEQ/spBPr5lgp6mayI3Gzi9dl3fpUELPz1b
5D62FoNkqrJvUYAP65R5LyP2xZwrA7cqFdOl4OynTcruZO2GCP2VzS8I7YgTX2KOBoRubScZQiTu
RjUToaFW8EtpLzqP5LCg9OrjXTCCR4DGN1+N3PlnvELPqZf3iDvpqfI8RGBihvApxmsJ5qQmrTCz
4GnJnKrYD0gsStjrbYuBmr8nIGO3NHScs1Ht2jKi3wSqFVtvYb+dEtV+UwetOTj9hbBaoJurF7DY
87CvXUSTYbR0N0mUQNMrorU/sqEzc7dfQLl25KcNRbI2bEHW2ml/+hkUfa/KT7gp0VMoUd7jz0Ys
YEnGARhSqXe9HZmxVMJJ3oB3E9F7mWMYwPnaTPd23usHxLrvXlD/bGCA+ou8hgr/CTg3gEteRofO
Grwd4IeEw+fyEeshgtRq0+t3ywPbjwcMDfiYq2Hc9CSfP6Yx4jVXl80KeXJPeFr95frtechJX8H+
2qxtFVgPUO/Ua9ZquBx2uRCAGwhc7fjGkTfZJ7Ag45FRnbcl0iP8JvYo2QVt4N4MyuVlEiHAGByB
DO8cfqozccCeiVlVTxMjBr9ddjzHDYoIgzkWg/z8mtYg8ohsYTZaSrkjBwFxTWiRm1lOcj+11Jhl
69Nk2VLi8GLUu09UstyBwfZ3aejKVeKmIaAsM9Mj89s2pc86biFY2baycV/G7D+thPq4M8rbO8pn
ouIF7s+usBGbmbI11+NAZnItxvkoGPG+Yr5c1lNbdtcjIq2j6Ofm2FQ6QgIID1v7zUh8LWVGFJfi
gZccWn2eXTC/oF+JyXS0+xzkbQizy1TdtmxmFmWJl0VnmXLwbTNCl3bFhAIQhGvKrq9+dpHTbjuT
763KJjC9lAdkSuGGC8N/mxrrXkl9NqQcJ0lBcZMzQp0M8solCoq3IcXIXVdRsS7MOO7atog2yVDF
hu0/+bfukEnEY4r3f8S8KnM0hGPjM/APq20pAA8AFVsTdD6tiji8VgWUPmK8UmwW3qlYkCODN3ps
lmk++S13N0Jgb3ykYs0vjIivEk/oQSMj3STJdJM1+T3AMI9drYU6KSJcN5cEF4wwvveuSrq963OC
+zaQGrxJ/VbVy/QNgOA+m8JnaGroBSc+ABOwzrx1BccGYPy68A8TmoO1XLxkLUaClKtk2I8gAi9Z
geZHXsX+gwiq6cRHx7vBmnVK30fkeQzdn+hHz05NmowlNSCIlNCi0RIrv0osRBYyux4sgeIMZPoV
EGok8nznrz5ctnfpFnqT91F5kY+zDUm6x7Syhr0Bo0xu1DRpyEOoqd/mJUxPPT32bVgb8LEWGVJQ
ZBCr+/PlGkTiU5V1AyOQgRX1bPwgA1reelbbQKg35UznBEit0sVytuv0ph0yh2u2asiqb0bUy33e
ik1ScKjOtjhagJMY+str8Dxron4ISWIOtWLxjW2q2BNPzNCQXIiO/WRdbuxlvBpqvZrnqLvGN5Si
/i6+bYmcHr0gIATc/c7w6Ka6v+6i73B29a88NAnh5vjSNJC0k48WAJa+zkfi4Fo9fixcQ9/FIqJN
xw7/zi6zbloZUHpcb8W0PNVNND6VxKughzZl7aAZyPt7MwmkFp0/3MCLJvJxrAefPGgjXjh6ik3P
agGle8NGwzF6Lxyc20tEqpvSAwBwnDGPVpnNV3VklnofpKTdbtxMPnV4zWfZR7eR5atuVUfWC66T
Zd2Rh8Vp2n1X3Tw/dXVYrTFdBzvlVdzerlvH99CxXuZwAso4McRssjNm312gInpyV73Z44AEqUaS
35TuPf1le3EFIAhEOHDTJDWUSMgb4Vvhy4pBqHNFIuBnkXnYvVJMCflpRM3Fnk2BzCDjnDAPJtq8
WW2N04EDA5BCW/gXbw8KSPaJxhIPpcg+udBeIBd9Sd/b97P2z12a9rvU9uJ1UCC58c1ic+9ShSXZ
Fk1ouCmCxdx0bLwBatfexjVef078bFcx2M82emZaEWeeOqfCY3LX9cSBW7j1NwWt1xPHb3Rt2PtC
HZwsD9N13IAoper0sjM6jvxkzdLa5JN2DwQKi3uqOPPYFtWy8ybt39lsZf26+CL/gftm9hSpIMh8
+krdBAUIdytrrZVE17PypSM3onPjY+Lk48Z27fngWoRZtoP1UZigOyBXqa6xV3NFQ3Tdwu9hTyOR
x7ZL5l9LZJd3lN/9ERyQc+haTWpxUpxqa+7fMaWEL1PC+edArCQP01iwNMcxehhw797GCchG5JQf
UdXw9cZE0WhuHywdwRVjFOLw+vGth+/VTy2hHTgRV6ZGdTqiR02Ebb36eR29NfVl8dxn1nPjDZs6
uBDR8DgxFuJH9z0TLMoU3g7uNYwofGONgM8AMeMY9CXhPT1MJRrrg8sYkh9qnV4naKjuwugi0mmr
jcuO9ZUQs/4a5frw3uYtuCe/v+BAgt7i4MFkDx0L1UfSDzw7BHtgyEnWGtntDvhQvEbD6qMOUMlz
Y7L+XqROtEFVnTy4Q+eegzztrqjB9EPrVA1xsIP8LR4jGMA3D46FOGei6f9qaxtnWh40v2Kc8fuZ
ZSXrGipoMDreNbm5bJYu2NCP3Mmza39aCn9l68g5MXHMH1PkofAvgz5/kYIsQWiMsNXYoJ7tSog9
k1xxtkPolQp3Afh9Ka8S4vkOImyQvHiLvUoY4m20pesvr1fx2Yo6/8Wgql1ByCLI0FXyPZZ9+lDC
L3kk3tI5sm5D6VXY+cSPniE0LA/497aHsUheLtcmu5eFt0OkhxInlfJFEQxysOSskT2DiAl035w9
OcoTSZnhdkmSb93ogVR0tLC7pjKUbrOb7MoliN7teYAv1NTug14CuZ1Huz+lsgioPwN2U6Pv/6Bl
7bcLCYTf3Zg4m5gG8Cpjm3dLYmN+nmzyhXyPUIHRa/pji8+RW8PDzdD0gBCc/K4k9gyODJU5Y0sb
dpUNicCJi7NDQElNiMuKaBkGj+FYH6OlHBGROvHVGNruNXKD8hffaL9N4i48lWHmDSju2wR5lvmF
rO9zRJSErQbqUqfhWNvDbK/4LOxOppTzs2qSU5KlZxTMVI52fON0+MewVqNzKAlKyi28VXqpEFlP
CyEcRXjTEWHDyBMpJsCkNRoqfbo0+Sy9mu9ed3s/qmOoo4T6JUPG+hRn10uWOay9wpmJecY7R2gC
8lUiyUF0qwEZKSXYGrV385xSwBNOKKaXVPgBqH3xWJg02XnJLtIJ7ua+PCb1dF9ocn9SzeFiKMmF
2Fmpbc4XhuqOZGQWPma+LTz586JevujyirNqkcKii5ekc/QhPXfg7YfFxmRZiqZb47blkU1qliQF
gfRVRm6fOKecn9sKc96lNsh3gBXJe+8sZ0uflxyioobF5OXD/XQRo4sMdfuEen9rsSc7cFMUR3sC
DdIT0nSLfs0jvSQkDN4n/QAB/iWzUWAvmZWtV5XD0U44puMQ7pNI9tyx8+o4FE8XrldfFaupais2
9x2SDQrfQ9Zel1GkVyqd9HXNUQhhwpqnR+kXzXvNahQIbGYnn0MC036VZCEWYZH1DPTEVNzXg209
zB6Wm/pq8CDfRmPGwnzhF39u67I5F2Nh/+AGHM6dVdHmZgNfeFH2EUkB9gypzYrflLskL2gTvW0/
0besWL3Qn6I7YFg8AIhm0Dnuwy4NHoZmRjU/BgpnQus/uLPn7dXkDJ/YY4DPBJnK31t0GsBwMKLI
DiUWPpXgwI8mPiW93V6NfJFkCmiAQ4GHPKGV44YP4IEAF/oFp1L9OPbaO5ehQ1w8AbLLKhB48Pid
3ju1wxfDTuoldfR3VxXOlk7ogpme7Ftj8//UfEm7dt2JuYF/YYsBZbnltrW3bL3RGSVIUcEUX1uF
QLFfeekupLBYxXZvXSiLcYF43GfGsxS8tqKLw8ewmi1Qmw7rZoKgUEGJLVA+SJWpz4k1pfkhMKwc
sQgOayIvn+ag/Bg6jU4xtxAn5l9l6RVXYT/c1NMAYcog+YFa/SppfiLe4dC1DVk35kfbN9YRFVH2
V0vv3yaL/8/mnv8/TTRDx/unE82Hj+JDjtlH84eh5l//1t+GmtFfnDDApc6zgH08ZD7515lmEP/F
QzPnBL7Ax/7XLPm/MSdc8RfIDDGIt8Dxfnt4//dQ0/0LMgPwsL4LqMIWvv9fYU6w4vrTUNN2CNIW
rBdi5uchoNo/DjVb0c0WBEiUbHVQk9SSzDK5cSqfag9DTHDVRAx0VkDQ2IbFxUUY3wfO0mxqmgcw
zDGa8dpJIxSPJdsud3avA1jemBMJywZdqFFArhe6YtQDqnbUdVzPOxUW7oSYLdTj3gwuk7gJNcYW
WpqFASX3cP4OegCXXjfBFUz1btiybau7fWCK8n3J5xkmhHtRMEZUbOSbt/Uk16JJ0us5moKfbt+r
bcoCej9PcURmi73c9FZEfhyL+3XMeHPb4Z54AMndf06oXT8M6SH1s6iS4GeNfoItRkoEuXFUAQbV
TzKEGZ5MmWWGxNBG9div0Mygr+kQC2Lonur5UbIX2ufGJ2WHOEH1DgccOPti5neU1bNe6UZ0Z7J/
B7GpkVIDum/GhQw1x8kIAh8td9kEUFUr9tE58FcCpJBEpQ3yUw7engPFVjESSpvgRNFEoNLyFgj6
VpcozXG1kckVePYlwtAumtWoM3jWXsx7LqWLyGiqJ3KKrDCeQOJPRpJXjIwXVa/dDGRYUFcqNTJ0
cMZR8g1wXkGOn4d618O7/emOCohf4XV3zOe8r8y25+dY+VjWFPcnzAGYUceuXApCiTo9b5NKdy+1
bNCkLCA919DwiRtuTA+nSizKf8mQfr/0fVem6DjjHD7i4rUPdoDIcctXML9MeqzuGlTr96UNjWyX
GLyqWT7KvSvm9K0gNAi4p+Mz4CNBT82E+AK8fGXsNA3HwNa2tYZJZdk7ZWXGOVjeVHz4coJXFrdl
6p5snEFQxpjD8zuzJ8yirJqeZD9BPkuiwKDpIlx8okmU6ATJpWaAiYWdwpDguwVfiZ7fi2CMrkkv
iLEWxqgctxMYpo4H1sC8Q7xB4KA95I2713U70I1peu7t2NdpuRGthRehiNU1/ZhzmeBEz2Uh6QZK
ih3Of1nX6xjbxV1SAGB9mNO+xRYk3UPeB+6dnS3jaZ5EBiZeNn6NpSxq8LUoUg1DC5ex3Q7BZzeK
cGM3NLw75m/oeRKDsFTMLqYgn3S+uGmD9zgtyFomeRinfqvIEd/QHsQa4bFT7YLeGa7wJo0E8EGl
2YlWqBH9g+VSxekxfWD1i2e4J0frTei8f0UUH/0Mpsg7hXpChyQsPnih2ScSo/mqpvzCaXfR8JjR
9j5CP2d8iEGtDZhR6SpdxXOlbvtmwVdTKuUdh8nDN7BU9G3sxTv15reZ/JkVKT1lRY9Q7QfOgWLn
lAvZL5h1jY9/VvCZEzG5CkMh9e2p71KN+S6/mH8zNyaoeQ7ijugYX6VM1UtsB0zruUnNgiJk4+Af
G9dxBGJrBYCL15w6x2Bax7k04DYhIq/1rPyjROuH/TfOqi9mPphD4tS9bnjD6aGFzD6HIGjPYdj5
+1kQvJjFCgOLk7je56Dq4jYyYeCd5iXIh3NKqfnDWhoXvwCwAlsA/IgAGj7zRGHtrWOeymZY2h2X
iXnHd16dkbsKvR4EaySWOKmz9+2xIXEmnD6LAcgrmfQ98lzD4CIjk3WjClvRvoz2FFynVbA8ctj4
MP3R935EhRWdseA3fALqB/JRu/ItNy7rpWgkeH4lqtp67cWszrjDBTN45vurqCD7bEVpjLyd9/ta
CKf9QicW01z3uYNyzeZ0fPFmi3gfJWoUyyzO0P16zcBrpiGt4ONq4KjeDKEZD2HS+k9RYlf2xtaK
WQENzsaTcmy2smgJcPfzH+lo1zjgchocp1MfaOu7R6Unj/U7MAR/9q1Hj+OshhbXg0FFRAFzN40r
Z6vMMn2A6kQZls9uc8dGwIEzANeIjcfoX4Usk9/If2WngUcg2tqd2zY4tEcvfxRejSkIA0f+wrRh
uXhUogoRbuxelbNTo+z0FupPRwv7izlmeAt6wf1hWVN95+AV3rn9rF6qFCPhXU1WHAeKQ02HxEw3
P/4Xe2eyW7mSZdlfSdScD+yMNA6qBrdv1bn6CSHJ3dmTRhr7r6/FFx4Ifw/IzMpJFgqoSUQA4XLJ
r+6lHdtn77XTvBgPoHVHB8+HSr57UFPXcdJUcmvMEJfXlJEP/mOE4+fnSD8kLOqiqN8FSWmc8Jqi
0cWBSUEE25mWrGoo2BFgOt7mPcBK6p8m+MdiDu+6pp9N6qjCqN/I1uep5RqW96I9z+XgzsKDOXMp
sosAN2AQDt+ywB/PZIjtQ9T1Mctusn3Kog1FgRwn5dF2b/goh5B0TmVgGaY0FQwnn0Nierlfcu9v
nFvoFA/EH8YN0b6XioAErTfIPXEKKa9KRHimDJh+h1G738c4xVccB9SECXJTba+ICEwJuReur2Ht
/xBj8tlGLpX0CQHONoyw23RI1ingkNF9aTMuXNtK8SQGQ6gD8LeVOzhHWoXQepG8UnUc3BBtTxh0
RawdGkFZPuUTzsYIeuu8G0ENj6sxlt+rqq7ilW211nOMA29eKbNNxGHIcjneQMosv4dw3kml9Iw6
bpwX7XKVo+y1TVkh0b4DTTg1tnZf49KJkZ67kTJlnw+Exq+VpMeqzc1tnKb+QyasfCeIA2zCPiCi
IRP7p1z8qrl09GacJ/1p1A75k9lzk81A5Q9VqiL0bnBHwYsOhtJii4C9YWU2FApfprQyjCdMcFRJ
YbROqrWEplpu7DqhyLFe+O3bgjcMDb8KAOeSKnOsbd9E41ElBkF4a4HB5vhMYKZanQOEkjvmMZgd
/UPW9G8VXj7w3sH9fCywRjprngi9v8MIK2/nOXem1UzG6DrMCqNKa5MvailK/SyUdk6iaQjghhB1
P5VNeS8G5Gp6N20qMjYTwOgAJglNFtxQw9nfc5miq7I1O+bQCDTivpgE9vKMV/lqNdJ2YBs4vkeY
0DtlePXWcBy53laerZ8ZonBIZbCqvnQ9Na9d1canvBAy3pS2tGmJmbLxJqKYiZOEfTyRBaIo9MA6
Vnrb+RYlWo4n2o2i1WfeWBkxvwtXsOIoGksCL+ZhBxGgWU4/LuhYB0esYisqEuaryPmYrkfMDJuC
YpX7AWLZswP40wdGmVRHafiIwkPd4WZiywTogtqljQSbv2TB+Csv7Iem5Laxwug6prphn48994P1
QH1vq8KDldDQ7BPaXssGpJ+R8mkx4n3SC8iXGVFGc9frdNOgf2zo40mGlcFgei8iMZxx2Np6HcbW
TNw0nsVzNjAV88iIJ8VGm0LerYxdWbxg3a9+2E1hJw8Z/FL+yLBMR2msZsWWrc0/GBTCh6kf4d1L
pYjaE/eipZYbB2uUrEj8krgN1KEVD+ipZUMRt89Z6FosvDijb7tqCs/kxPotH4HmR9EJ62HIehgS
xHzy+3geKZ2tYczY/Sj2dh8EPwhRmU+TIYezFMJ4m8zQYCVTp/P9UKXdG89fxgW3bm13XUhN8qUk
3waH15RHs4ymlyqZcDB3nDEv2E9US4TKzYmH5maa7Sv0eDIhgUOjY+QAvmVSNtn7mOzdyEhDQG3I
+YOK93xQK2QeYueYaNvLgfUhfCFJcLoROIrraR+yJEtOc+tlZ9G5E5gt18IFmqQ5kdQuyIOfPTuF
L90gTK7zoSvtreYu9Qz5jiYoLx7GxtqbgOeNNe/e2D3RkIF13qFFPd0JaCVkaFEsAuOjwgJ9mFI7
l9UmmHPKIOIynWEMzz3XnQ0mm0q+siaw5IOomEv2dAvbygVTbAnqFMPuQ5T40qfIS3dDSyCqHXN/
G9luZezH0vVog/bgBXcz/O1LDFwb8rbj9s4NyX0GVjLsME+leDQ5b+YTRe3hfRYwE9zBEFoa+JbW
WvuSu+za9zFb/XxbyIjKJtMxPWftFD3edRrLRcMarIQsU1/juWI8UlXSYY2xCBHc0N1ahidh6T6+
lRAraGVIwnA4pJo1wdiL8p5ShZqyKcFM8jihvs37gDpZZ6fp/0yOrBST9BV1uykONDmw5leZnPR7
MU/mR0D+1Fv2vyJ8z7yoDBEdI8pyI9AlGD11MtDHQEhIM2Y2Y52sLZs8QbyJJtt8d7weKGzTNkO3
rkNoemEipuDC8V0Ph0xa3cmdCqvZ2kJbh8q0s30L/xnvROiN3+KyLYrjlHipuYsR4AEb0JWeXivX
H/w1mjdu5jaz9a424t7YtNHg7SeA9eGJBrERJHoqObugt1ApWeLrrfFHtzamO06GItsahpfrt3Gx
zKt6nIpr7uAxpFuEehC4zUMr1QnX/RQcQhngCGlF4cfPHFKePrpjWzLmmMNwYa8DQBLbqe6LJwza
bvpJnqSv7iPAYZvSU+SFWCHgNDW1199R5UUWguHOXVExp/yN5p/jbiq8dvPBitjMULHLhmArQ+G7
7An8dufbTU0EQzbGGVD2W5CyKFnVxMvvYjgzX4UbqnciGAjGNB7cpTp6SPva7DZNArqSxzd46RUB
jnSfjR5FXEnY1WcbEnrGO8oIf2K4MewjQXNuRkgMwJTaPJ6+pqhxnKOmg5WB1ez1qa777ltHocS6
88hzcr3Ek9Q7teGuBjd/6CIoZJsy0Nk5GvnEMrWEOE1COaHPRUbUf2pfUgmJI830OIUaIE8TV2E4
YboBTAxlIXrWkRPx+5DLTiSHmn47ETW3rxjESP/x1cT/sSuZ5NbTKihZG8ajtUb0XVobSv97zaMf
0FBt6yeNgYSPV6qaj8LwyqOhsQnnnh9efJXrbt0Ws0V9ViSafDMX1NPDFHEe2BW7+0RBTkvZrM6f
jsXL4Q3eQo0a20de+eDgBhHd7y0NWtV2mPVRmeX4EWkzegZH0b5MddSme4u8y6l3LP8I2mnC3SYh
L0RZD88gawoJx68CSojHXSgTREVq5DdB12HWmR3U/p3BP+y5jrLgLFlOFqsxY3O8KikOqtH/22Cj
m9CrN61IAL/PSWr2m6GTIU/sOvC2/71+zUUg/frNCPpLMP2/acXEi+2hNP77VszHjyLJ/+3m43v3
u3L568v+oVxK8w8HldGXUFiJVf6Gy8Woia/SDjw6H7Ak/ylq/pIuLecPNzDJ5C2mXB+4KYLjLz+m
/AMHpc1XuQTXMHNi7/ynF/Uv2vK/PLb/VnbFXZWUrf6f/+PvfmWiAgtmFDgr3w0wuvVX4bKpHdl5
o9dseazfWSx4oOjV76Q7o3XDBGm02cnl6X/olgTjb6/Urx/l92/tOctf/g/b7/E7blQYwqbvgQPm
NXEQar2Fg/2bYxxhCdoCH7OtRfvnIWzpoaGnmCQ92JrVYk5Ds0jpfubA2nckAigksUDATOBZyISQ
io1bIo6rgIaDm16wARnnUcAhmqGii8Q51Q2f/aTRwdVJNJvQZqIjKITpPx2Iy+LgUf49Y7egqHkp
BaAC59FB2Vj7LLJuen8mkzhz5N+6FTvVTefpK6MruIkkw6lFtmYHfkoRic81uEF3Nh7xGDC7qMKZ
75uJ89qW2nj0KYvBB1oFt4ND8YoPG5mOlUUyM4zpKU1qtjg+jEAaf2eQcV6355EizgEawV5QiXOc
XVRxzJUw6lYL8z87uH5tX3zo/prcYtLhB61F5Zxr5ji1d32YWFHCDItVy8vWjKTyHUMdrQKZrewH
pJtIrTUrIp7gBq8aodADDF19aTF3cTur4+Ie52n/owgn8w0lRXMrEkY5rU1GEbVmGTS8DlEEM4oZ
svhWOvqlqw2x7UOMpIHdnmXpnkGoqEME5YkMiEz21Ci9e50ZXM3OHb0NyaWFxq87GGiAmJIzbPux
PczFSBM94hC/rCw796Ds9zmA+70tI/BuaS2rS8ne+oiRFQWjj4fHyKnSPTftaJM03D5JFhrbuePX
rQm7fOSlZwLpUPC26Oce95kR3BZTPVxQ16NdRpj36hgMrbZPQbgYOL99Q8uDReZ3G/DJEZux7azL
lAyxQoAtSLClQ0gY0cCYkTcQXYKOCprIp34Bx2ew610bCbrt9IsXWfLFz0BgqJTu2jESZ2nRtaiX
9zllYfmaqdy9OlMTPPZ0kIFQ6drNoIE9OeaoESgChQ5XxyPUTKkffUygwZJgzL7JiNKnTY/RGoTa
FBj4fLKqJowP9Xl4T2XnWDsFOsrkJTaJrma6T/i0WIMg+DTPBaLJYLv9jjaw+UaWvvNZumH7YDol
U4gPmHQ/lbhPiNr4P2ZuVN/8QQdPi6iNmy/ujPc0scdL0hXuI2RcImHgq2ofSH0WIJSNfdVwDRfh
sLMMo957gUjT9QDaiJLHjA6fI+0Ww6eaRgyhPYvXS9pYjfVO9cK0n30xrcmZyJrPtZd+6rHJ74Yi
ZUsedSQmE1uAzqiPukRJkPnwc16m7aIZh11WOs5PRBv1PaH47DBFIrnSaxof54b2HStUaOxR7fTY
W2N1NkXCkdqNVvtEwXzwlYZOeCTtiL4vGAFKQPeULehCHDKzhtaZYI68zhaNfjRNNC8OeFDIVoOF
eWcGsjn35a4bquQnKGxri62hfCiNXmKcCKyPIpq9OwBv3T6MQ17CUeon7nHVPu+1eWkpUnmNU1E/
V0BgniD0u8dYo3srjvBwI7I+Y6HTZcNeaU0ACJ1i1Gsaeq3mCw2vjM6x00Tsf9Ncuk82hpZhC040
fIUatw+5Cv2keN7zD+5kdjPZeSyiB7oMZpe9cTptK6/aSbgT0ypgopWbtGvYVUdmzbVDjBO9Rqyc
m81IhvWDdxqIkRJeEA8kP4BFZyQ8jWmiw+cQY+xMd8Bb4dU4DnVWnU/I/NKqqTjNzmQxgbsZ1xRJ
7O0Y4sF4F4YIUNTm/libfviiHbsJN6nRDwb8mSEBPYfJEL5LYoQfzMwopCF20TMNIcMzxGUKPENu
FSFTXjbfW/hUEH2dmEaXKBk/ynRUNy3WTPsUA3/c9sb0NhEKphkVlsG+7HPjW9k56ge+3R7XaxVv
Bx/05tbsOsxAuIxbnMtTUb7y5sccjI2S9TuCR+Dss7Bld0REEbm0HnoP06Nft/TutnWLqjMo621U
vbPIBpm1tJeU7srr6vaN6mHtbv1MuS8AWczXmtz/2qxn+yvpWnvtuHOwAdHX7Mw80rcDCvt37czV
DQbZIMXZ2YL+sbC5z+t8Xoq+Iu5ta/5YckZBRkqLlO884tOlt4uEalKsKretudg2/AB0M2aLmXJG
bRws+s9WRJ0LY5XpTGFB71yeFzFr8HxPUR44tzASXbEmrjaPO4m+Yewxbkv6VZZzhyam6pmjh0z7
hADXkTLr1VOWtPM5w1qw41eGSRtiyc7N8hGiHegPEmpYhs3abyHq9vSC5LFjgA2tivKOkZy2PpeP
Az4LH3PqJO50yDWeXb7v3KaYEm4Y1THA13Z5KaYG8QLx5VwE9bCPMxSfFXvZlBZozyVxGygnfjAs
AlqIfbNeOiIHc/mg42Kc28beRmYgv6ew8KJ1B72PxsMs0D+b6U/5DfcgHtgRNojJRWNN7Wb8ih/B
3Uizau+NjFKd1hvvYmowH+ZsiJ6tVvzZau6v4QexHlMxpbc08pHFBRx5ARIU34LL5GNre4b7RFFo
/wUJJ+MzkzQ+jTXRBJYy9swZ2qVjkloVzVXO8QWu9hbJggO5q/XeNSvFBGHHj/2YDjf9rPji2K0p
r6dwl7Vi7ty4o+X1INCM5GFsW3OFIEhbbjhhlCrohaFdjWVeD+dlxgMVeLvEjGBdOM6X2xtiwxXm
NpuA7xZTqHC7Kr4fX7iw1gr/hMe42s+ZZ68LpeKdqxwgCjIt5d0QV3gxPG05xSazae7h5qaqc4VT
5pVTDk9MxZuKOYhB6GfRx/PNpNWY0+tuzA8e8AlUSIfGAkQufqCjHcOdW9mwQ1YkHZsfrB3ocXZl
0n51MqbYrCC2HLPeVeqASdG8UHfUU0Al8wSSFsQBwaNVYHINsO4PxyVgxF9NqIZiqaIr2W5M9VlP
LcCDPncBHfuR4DxUXdK9tBgoX8gg5Vs/klzxl1EFRI4HCwKJRrqgLWvT+5pV5t+7dPo9WzMj5bru
k2ypoVKUN9lMX1uomdVTHRUamCmoDhAVkLDuaq3mG8qx+0NT+u4/boqmbae3tB/J1xHLL3wHq0Oa
z6Q3KgASCXnFDMoHvzwe4Gq97GGSVS0wBwcZ1sBdP9sFFUVDOn0jwyVYIugR6a6cUlMczLFqLp0R
xHo7RRUd22mhfrY+eJg1O8sRoiqmbJ6rMEW4c3suDzE8qEJfmnrIh9uycKGhNuxNSgqR+n6mecuY
wtvIHGW5Sam4o/VymnmBKLRPMGUxEIudoBzrWw/c1zh1oc92MO1tuz8FXt3LnUXk4UZWeXDqej+X
jD3myATshQTaJzeDfZIGmmnNltTODPaLH5seOmOQ9ifLxRNI/nq8zDx0Mh7pmf+EQ6Avz9h4iBqY
yVAPiHL4PkAZBA0jqxrVeS5zyuPIfo+b0JgRVH2TMWo7wOMh1c3Nod+1psdymt9J0JziKQQGlvfp
cwMzL7nMcUuhl2iH6JhXFOFgyTJ+mFYaItRZ+DpMTpXjNHJJh1YSp6+sZqnCRS5pX/htq6trzdRr
z4XTHgUP80Ooc/s8u3gjAhG2FyAZOTGacLm680/f0uAddCxX3fFG9SKPgb9FoYb+pKduo4JaPLam
zTb2P7mPWX9P5nHLDEzL8x26h2Am/T07zuK77fLEbbdAC3J2K9FnmZTfEJBenaD4ZouSg9XHWMiQ
+a4xoP8nVQZ/j6Eu394zTUmKirieaS7//2+3QaDjdpENRrttQvpSjFmVF178/Pwf3zr/vNH+5dLJ
twns5cZp8n1E8LdL56Tn3h5mF59BxDKp6zsVrX3DMeTBjRdaQtarwl7ZQRl/LzmeAPgNkNRWFvvD
V2ucxHEyyu7iqaJ9yEjhXJeXbO3hP6KllEAFRhS1ThYFlOx26rd3CLRVuPvvlVp+V1r+1/9DRjJA
wWirLm/cf1+S2fzI4+R3NeZfX/TLSub/sbzDLUH20nSW//6nlwxBhve9g4fLWt4htkSw+Gd/kSQ6
62M985gZUPt/D8hKWshtvgqlndQHxUP/JUEGfekvoogpub/ic7M8DnlyP3+zkiWlUAU/HlW5DcMY
02XdPuLhHl7jvu1vnXF47IzGeCgdIM7IBdxkJpTGlQCKARd8SPO3AlrhR1NXyTHMgm7LVlysAS2D
THYJLyV5Iu5HzxzhjU4xIcdB3SFr5D9SkqpDpxmY5sDY1il3Jq9yqzsVDOEjPPgKg5SlX5zKLT5I
KWUbwyZIp8Msu1uspRmV0efccuiFhG/+7KRcvE04r6C0g25piai+YTR9xcYAFnsAmsiOjEycYRBC
If0HQtWmbgGXGm6o+hs+h3gbLx0PHCjBA/Y6kKtM19/cwjW2OgKHE8FzXMmGVt8kzGqiSsHwYk+j
OGg7zH8GIc+PHjzMp/TIDbKnaD8Z6/Vj2tnFPg1DhiTXc4INSxg/2aQFahSmvNB6z9jn8oGGB2jW
MrgM1kghgT3TULikF8Z3p0hhWBCHgsdUu735Vlk+U21IpfNKRhZ5y6YXV9H2aNPTYt2QRq7PcW3B
x3FIN/Y4jCs8NP//kfB/UmlmeRT82Myn/9Ez4fFH/kGnWfnxl+fCv77yl1Jr/cHqht85XgYwHOai
V/4Kzvu0l7FHQcPlafKPePw/ldrgDy4R+D7JfNiS1g2eJr+UWkv8wS1o4UFICV5WeP81pTb4+5PB
E8KxPHrSyCBJx7UXLfe3A5ICs0STloMCZ7YPHsu4Q9GCiKq4pu0Coxh+pHIqiYTAW+XNOq0xnutd
H3vOgeHR2QUVSZltz1FFQSxS0L1mebWzSCEf2yXuHOes8sH2e1dHRv6RFUa1a1kvfW/ssNrN+Zj6
/JWq/dRJaOprai7Yn2ZMvFdkqPi5VaW+1lWD9gMoLglhu5jy7I+zPCbDQF0AAliQHyjChcAYDVCl
O9foiToOX2EyN0w98swts3/1bFiPolI2gXvLS2bGXjiJDWgZNnhM3euicZsjOln6RHe2C0uj9gb2
5fkY0N7qSgMMFavz2wyve7VOXUtRo2kE4tqFMilxkfniCSJY/xaYkgcsbqD2qII0fMScglXfpqF8
WmEQjG+mrBkwDBojfcpt7CS3MGT656akS26bNYkJVQVJqR+mGwv34wGFaPiqzKJgy5Yzwuhc69s2
Gw3CYWXeU0FqCbBxg3NpYf0+xplvvhpVibCOq6E/TnU/3PdhVG4bJ4q+yynnBY+8cfnBczq+M372
LkalrGRzqDq7uph5gobLr7n89DoljpQgcWviAmXzQ0L6WNG9Wu0zM7VuMSRxH8/8adqEFe2hiDBO
u8Y+BeCIKxkWA6sBSx/KTa+HEy1duOY720ixK8QP3Yg1fqAD3loRPuT2TcwiXCfdPHzQ6pOehskf
oGLed2m48iQ6gVf07jbKfYIVTbDpR81txgRWEMyNd/CpiH9WumrpCjXqswVx9MEw/AKvwVjfQm+J
9lUBkN9oB+c2Jv+7JXgbHbyuMM/8RsOjbegaRmVmvtfzPJ9iNwrvKqdMr1PKG7WBFfDZkgjemc6o
CTbDXiAp+VjTxzUEDfWdaRffZdk4cP1t1BMGtXAXddL9SKwFrGM2wMLZDO88Lj4w0fSLaao3YojU
Mfjcl/g1Peugxy5cdi3NxH4A3K+g66kZ0ztls8IDOeApctMzNxEyzatuxGdZd6o7EGtWas11L/NX
CuLBI58D/6pp334IMuGVB0SH9JSzbX3VvikfsehU9IY7liP3/KGEANK4ILqSJp++YeqoDxnvqRuT
l4/lR4vHFsk6OZKrpZ22qDz3uUyleyMK6RysZnEYgnYkrO8PyU+zz9WuoVwZWuMY6k/MiVxIuk4G
j35pcYtuEx4U2ECbpf7am+5i4HT3aA3kf1KyenSOy+hOjXWEoIac/TBKCQxsoEh6y1Krf1sgrDdJ
4g6nySzFDX5hNJrB6Wf+prwmidRZD8w5/kHCfQxWoRL9owxG+6kr/OEAKnT6DPKkeJxau2oONoit
T97fyc/Y6x1nBcakZtM/2fGHFeZg6GtM6/jiYt8nf0T57mRSGrNy0sKpd1mV1nugpDhaFx/6XoEp
vcWP5Tz22O5PYSPsb1mhHWLKeHVXvCjeXZx0VrGxvdramg2GuX1ndtHtPKTWPTYvoFYEdS9trIqv
lLcwv9XQsZ8R79sL2XKHO9RcU0iAMGchy96UZYFTiIZkYpHsZ8yzR4vsAe0qOtOInF4smWVIKUKQ
TW8My3oEXr+UZHm5wRRl+Td+1hb3sonMB9cewVkp5sf4xAUZUkNemNgeQex8DXM1r4m8aAA+RLvX
BNTWJG1PaT2RDJUp1iLcwT0+WKPK9kkx1HqbJTI+0eYQH4agvDHThgplyxDGRjljuoqD1jqM0iru
KSwb1oIP7lab4NYb/oM84lx+0z3aMfQtxNckuO3TJLrSiCa/MidIrkMUZjvLrma2cW1/jrzCJiUv
zM9shsfb9/BH0jIEOl8I/4zgx+/QjrxLCK2XJVGKrujr8lxOE3F24rvDFt7gp6WpIs8tozk4bum9
GHG982T3AuBY7fnox0cr87ZxbccbI83679SR/EghwG49bcA9z60E9ADLtJzulYSg6150AnKvldxC
b/I32AKNe8soMQTNUXmMjPBkRg1O08obzW2bG9PrRMtODIkvau7t0HUc0CWG2jauTUdv/jgX/rgr
BFoHWLrX3JzsY65aSL5N8rmo2/kJhQyAmSJEsRkiF6kfZX7ctaHbP1i9m17H3lBorqq9aWz77Evx
3o3qgKAIj0njM0NJ7AiHjBZCin1hrp8xgsbSJHsFGZw+moC+mcrv0rPtlBLbFREKyq+o6Nsnscn/
7Jji97WTnpos7NJ1KKZ62hC8g6NjSSCt5CIGxeYu/yimHK8Wa8k3h4hpgOdtSq5gEHoo/VZtruGj
1A91C4BzrgeJVuRK5oR+7M5FHGUFVtgm2uhpdlYzZNMfRRv1yZYjXsDpVm3MMGNE0DQGqvHAvmrO
gcTW1biabF3qNQtg76usdHfre+1wC+ITqmBJXN0fOMSoYpvg3dvXqpK3/LNo4onElD462gRHEwbt
UK2tcBifyXB/D3i7v83C2zD2XEUsu12mYc3wQKwfEg9JrcK64/y5fOYfVSEmpZF9z9ZjfoPXQ3EA
ybJT6lAqhJGbjkwwh9Oaqrnh6stMfGo7C98jvvEqstpxC97cWxWF4e8aRzVPld+XB9yX2xwZ+ISp
pbujmTF6zgSBHODR4qdj+vkrFj+1s8GNl7h/yyI55OxkD0MZLABrlpVQTrC1rAD/lXecAcO+y7P+
BsPWfLIZyJ4TjNoncuTjqWZjuiHCYx5VIVoOJF9c2FFV9hrbpjzGDa+VYNPwZdfCPMio1RvascKd
LmosNIUl9qBz9vS3PE0eIEocJBtfDPVaOc3G1gII5BDShYNhijqRbtsNzQ/HHZjnKt6KGIiwpqGM
8SDeFC3VERjXNhjg7g2ndk4IXe4R+gQ3tyKsPgTPs7V2GSmELvDlgH/bqTapOGHslnp3Ke/pdrMu
UVgPOwyw4bVkfbGC+kOneV6qTR9SUJ449k3Ud2fbnn5algaX3nNMQRNn2v/e5Rr+jJiylc2odRNk
lbsDJVif2zmiCm1Gw9MDp0rQWP1jGzbt0+TiQRqTsd9xAbwxI/wzfgC0h0bLlOUmIFE9RM6WMhIP
iV0FO2BR1DY4zvjGF/WXpPDnz0aCfQlTM925cVReTCDTL7zekA9cr4N2p1Ti71ScuVsR0XhOb1l8
8kPfv1eEYFYhngfujWF2aws/XzK24b1JRuVS4C8FoESn+ypWmaDYo2CBgSLfXLiHFPfgesWPmYQP
maSwRDOwLaokbO/UNbn4EcRhcPVgGK9YaiffHIhLZ0HjM+JjXSZvhlW0Vx6b+ZFy+GGja/8L53pw
8MsULJWbdjeta8k38gHttkzLkn0UBz1zkZOqK5ljfPkNWCCaDiLw4rFQE08PvOfRPJa7nKvTIWig
ARjCnx7CNNUzVY/diVhJuCkNypmcMZueAW+Ut2MRv1Y4se64W2e4UmV9ADqe0CPi7B1Mawjaab3z
kyUsynp9M8UWpB0/5aRTYbRVzE3b0uTh3AVeQnQ6Ey8mVxleZlnc1h0PPObH6hWginiHIZ2drKjk
Ddxol9QInrvVHHWgLjTguvvIZidcdB6WSzWPX+GUZ2sv4dwLpc13nlCQtc85PvpQSiq/fvLaPnqR
EPHXwCoX80j/1jTRcY6yPc4LdbSAKLEo7+84UUcWPoy8G1N0Gg+dsTHNSW24ZtEAoYavJBk6Eiaq
OKXNEsNlF3ZE17JO/ogPFMCtSbsdyYMhluvAJO9GLp8Ea/596M3gO32RzjFdyiQYYekCGPLmayLO
dSYKztLYBSq8swdsqmExEISvFv7GPPDyuYN7awjJSj7OmjvMtSVg2Up9mrxhbmhN6vG+wU1J7BQY
v6UZJ+rAOLRkUK40D5ALipLpWxgmmnkhzT8yK5j5p+D2Kco5/uIyZh97bOAb/IQUCWJ2fTKMeXjI
+hlXNmRo6w3ipvFeIIbvoN2qA8voP0NiuQLBMBZcelpp3TUECddhrzdakmDERh9kO6kmOn2CgW0+
N7k+ocWC35cgrfFKRnHgnYUHtGIXyyq7wwCCV7jmSKlomiQ4Uq1JWP0MGPj7NriMlHKuQ9WuR6LW
cNrZffmDeco8umQKvyB5Px5AQzxKFlNriGzJHWE1lqp5OR209KPd5DY1/seqPeLoad9qs+o/5h43
a+CHHvhrO7hUUxV+garg+Jy6kp1UI6AxehGYkKL3r86cq4vXusWbL8OO2UiIIwzVek9KBMRtMJF4
tlgKmbD6BVIapW1sXMuSR3ydwLy0nZj01QAzmFGfsriwSeWXGUyQhkItqIbIQ/898AzPXxnUTD4r
RqStCqbgpoVA8FqPfbKfQIcfPNsZP7wyLjg7KH/AnDyRXnTL+T4ipnPKxDzeG1qzFBRY0NcIrfY2
zPz5OKNUPAQEsD4AyiR7rxnUq+J84xGvnaM/ucWWllJWnhhvyQK0ytt2rWVu7LCu7lsoYFApqr75
YcIBe6S2Z/BXunf11ROE3kg50adEbE2+4cSiAULbP5OsDE6YyBdsOfU6dwhzJnwcJ3nmwYHV2NRd
vFGgbK6jP9unJrTtnTFNxWsnMibX2Sc3yccdLF5e3YQIejd50yxADshrmyouh2LlFra+y/xW3TJc
p2TEI6hmTWrzqKk5RB+iCv8Z1CqRH5VHETv52eZbqphhqT7LikOBCrwhyC4vdG2yP8xL/eSZVDdU
S8Zh0tniY8c5FTYhnuZg7tPjUHr2SuhhPhWMZ6e6nodXggv9Y8AUet/ZA6fJnDrPhT0mp6C30s/I
7ziL6Mm6EbNQOHSVGV0aN7Wupe7rFXl9epfSXBxN1ePImnEiVOsq9cRH7xqxIknpmB+FB/4B8WAe
X9wMXxzMukAjPLSuWW8jxMyzMWsLUjp+nBUmtHmH7qmunOPqLR5D9dz7tdjOyuViIFu9mqRd3ZLn
lU/gVPyTbATL765n+2zYxQ2mCkasFHm7xouU9K+WDxFJmGl8+7/ZO5PlyJF0O7+KXsDbAMe8jXlg
kMExmdzAyGQm4JjhGBzA098vqvu2lSQzSXcj00K9KOusKhbJCIQP5z/nO7E7yb3u7IWRucn9n4sN
X8ojM7zqm7A4i9zj1AmWsYbs7IKPBluDz9mnYWcOPxuDApJmYr8gWu2smTs4vwdDcIaXo3So/gxZ
XZlA5d26umkPdsm7ZPc4rbQg1+wUFhSRvBvGbUUk4Uu43C+mJeO4FOU+ocRAtCXwN7uhJVAx/+G3
5ngrsKirOCsuyvX4YeVUrb3JJT36f1f//X/RfeuS5/9fybo4zj71f7vqz+/fXfp3adf551f+S9Z1
/xEyN2KyCL2U0d+N2ftvWRc6lrRhFv9z3CP/Pe+BHUDOG7GVyxsjJ8/hi/4l60ooqi7zSQhNkfvX
LOi/Mu+5jRv/Po5klOPZLuwAn3yWtP9H+G5fwX7Xgzfum6yPnsE1zg8Vnz+6PSOlv0S0gAW2Inrn
//ZCXf/5Df5uvrUZWPxP39l18aKFHlkENL6bxfjvcjKTnpxEEKW0vkuvj9KO13yCzeCMoEbbpQGu
gTi2VtoM7wUORupfaTLI12FQOAMAN2P5e6toaOjotFP8jMkuoCRRwLRy7Tnp16EmVWF1dMut8xJz
z8HIW0qeiK8Ak256PgFNHc5fcPlWTj/rim3KCX6WhEQ/51pGb6WVlekWQMD4OJN3bTY5dc1nhUyt
OBbFFMyMthzeKzdQO6Z8xDHL8uxSX4nSs5vNQlRgqb7wna7T3qGKsrbrTUct51ho+67TJnvk+h38
wGXY7p1YZHeaqhhWCC4MYCsTP34VY6GookpEfWTJohUmnn9zSMj3TKd2Mc7FY08DH9yx9BqmQ7Ab
JxgqHFooZbOrN6XQsU3Dfmwb3BDk1Qi4S5irLStABneuKGu6LCLHfaAvHrYIaUrpWDR3moEv1K23
qxoqm8TN8wVLPeNqKj8xnuJijFz8ixx50oKqWkfvq7jYAYmgLOxGNEdO2/u+7tadtxT8S5R1ybgz
D0YP7R0Wkv64xLSyxOQbwAYOJbESd1hzmWdmnVDP0hsVbKEOOptuQprpvWQ4Squzd65yvKOLqZv2
CNlubT0MYLu6G9w9lesFAzN43koecjRWavuSEuddDvECDuBG4yzbL0bD8SEVRSKIsg0KIYX73dhj
chhczr2B8MU9KypkNA4rT/NSdPmmciH1JoDTGK/dGjVWjBCcjBBgWiYbxAY3ulllcP0Zx+0+iYPn
NXBO8ia3Kh26EQY3vBAEtL9wCJXfnE+R1ZFWPOoTUzOwTed31oQIvTHaUveZjNpjjzsIips40VvW
nNKlrH+U+Mp4rTONsmotPW3I2jNqWdNqwQ2QjkPfZ9H362tJzR9cz9i7oSOoCtxIdEioV/lyM/Y4
xV3RlfZ+ssGo4kZOw+fSE5p2GVpnNq1fLXLrCRvf1hL44cXSDknbrp3HRykoSHCTdE5O1NhwFEH+
DX52fcilNia5f98GTp1SVCxIE5rQOt7GGdWt0KnELVPLY25jXCaEHyZEUwr3pdaaS2bIXIUSjPDG
6IBoZwjE+U3x4JT1+BYlLW4iBgnEmP1JguMSrjbb0ENKPc2mt3/XbYO/1yntt5we+WHfl7b7h+NZ
HO1cR86advIWUPVqmT3xFKLg7Ehf4hDsYPASDJIAdujNyRHaKQN9GehTHjiwi7NuLBzM/M9Ze4kK
ngYUEWiC8Ip3xSI4B8zffpJ/dWV6h3q6byzh7ui5clblKIvDmEbOg++Ce25dYqA9DbkhKsZd1Kt8
tdg3Gz3XpE25iP6QNe195S/dleKeb8yagKNrXa7jvkgOVhY0lyoIuCAl/EbBXCLrlwHlELHo9xNG
8TOyndz2Zqq/Fl+Pu5kM0b01Z8CMMdCZu7jLpz9lGRNWIgCnzhGVuykPcAjbYqmII5Du8uyvADH5
VMihOFNO9zBhVGfMQ7O3s7Ft2hR/t/V8o71R9wYirqK1tpvEew9vk8wHhxXf9l7zdKauoxqHxwjn
Cyc7xSwH1WY8LcPyu3Fa1g8yZC7mJYgqkZyDy+i4qCM5ylw0iWRryoRbe5+WV0FbF5WbzgD+qDbx
E1TjHKlcLLpfcW7iIpPgX+xFOdx3OAbyLQ2F9WpS/fwQ6hHCf19Le4WhP+DJwgTGapF8hSQMNqLy
woMTAhohNmnRgGZ4NZj8v4YFaAIyTowtJnzXOKRJsZv8fowBOaAhH4aCilt6cE6EzoJLI/30NPje
H3YndU+Cs9kXuk1wIPKkdMfMyad1EwN02OplIcqnusSuNmJu9beiq5p6tFxbd4FfwfuSwEG6baoF
xHsoXISF0/FJzUn+o1eYxIrACX9bqT3suUdMBAX5wOw9jGzjoWkYSmzHcQypYMjLNxrF5/U42frA
jar6Hpi1Xrupjb9mUFXuc9eWLLP9UqX9pu7x+DPHAcO1aTgdcGJFTN4SSKBWXi0OnB/rq8GqvfPK
jj5jaY/nQEWbSVfvAlxDecOqSlLcXe7AVBuxpiDnD0wd3SYMGc60qn8xODFvKnXm3gddAFFm9rVc
FaNpr3NYPcYO00sAYHrTNaW4Fj0U60ncCshJS6jQ3Vmk5ECf3GAebULGPTmCLMy2JnT1OSOtLTw9
rhyCFPwK6SUare82mH7NrO+MZwOOCpacj2qJ0jXoSPAxxFHoXyM+KGUBBbWYMB1rbx+OHJZjKqYQ
oEF31ukEFddL3hIHazndFjwAsWF5Jk28MiR+xnUplvSpnBrM65naCRNvFXeUXT8P8i6dwO4XAlar
JQL1PSWS6/sw9peiC+kMEbZc1dMEyq0j6Jl0QG4bSmw2vENmy1nQWXd0uDCzXF7jgoGnLP9imvPC
FhRsX6Dx1Xva5F6Nl4oX+lz0oY/A+XLUIAbs635fA+XfswKFUKlp5Q5z7W8tCOQboL7+gZiLC7ch
ujKJ4ONbSvdh4n1HlSEAK/U40TEMH3+bT0Gy1yGTaMfReGo7bg9njgvdTxXe3tQUDWAHtqG7+qqh
V5LACtSGKjY/4VQVTwEt72crKvI/3eQhtrHlHO0Rg0wGPZH5/FSja3pWDbWIDCbFvlb8x0oXul+9
OWT0V0iwpZkV78UYeijjyk6viYjYOfNktE4oEyQpZeZ8RowV70ZLTg+oWjkJ+aaKFK83YmMSlfh5
R1Dwp0QOECsj2ztb4Wi/EGePfxcdmQnk7LDcM9ZSOQuTHR+z3vJOCS+1hcSTRdvEEYrhFA2DKzzS
I6NhBIp9SZDtzXHDaIWFCqI5kxDKnGWRfDPYs6gXB2Be8yZU5RUDsngBLZYdVNrN52zKln1lzeO7
Cxn3jAhYCSKzt2F/VYHG7gYkyN6ychgwqbO85Nk8/6aCrORjyojuScN+eooAqnMfVj6xmzIeiLbI
YEdZRvcWzrV1H6dVdUoxUe5n0BVoBozHiZhqP3lXbutS7GcVUJTF9DKa0j2MlRofRYQ5tJc+FQhd
HV6IytvnvgqDdwEmggLAtn533PgIyd9b+X1yr8PMJ16WiGXbCm/0ec5cwKIMd5iZLExnwYspWsKd
BYOD1ohdeGjgDKtpHbTcLFYDqmOBD8TnYcq9uLyPoyDd0y/TruRY3VTLGZNJL5YjgY6cmr7KfiWm
PearWvdEDGLjJ9tFyMy+skWwvw1JMM4sYDjuy440XYH7gYF/BVzeqYhJ0X+EaggrNCiiTxxU9lZI
G54gVQ57OcL1BGSVfnNoASXuI/+vYTNT8TdMc0VjpNHHph27n3xolycRdZw2vana55pvQreXvDWr
5luvrBM4P05ypfdV3pvOGqfP2pFT+0jYqC2ehW+SYNMjklC5PXDBWzPDo8izr6gXW7u0B7HLDqTi
8DGMYu81dfZUuiZ5mRpb/VlQ3PfIZjA9FuMm+wEZ6bGh7uknrV7uyzAZiYCnJYDGJYFGmSn8s0kp
0u/J+NlJ+K7z2bqyT1bUjyrejsafniwOqL+1w4A0MTVCT6mm9mnWNmvFQtSBA1tns6p5fZvAKc5Z
snXnDBiiS+szjwP31fMtX7+EGLX7+7huXYdWepzNW7sj9JKUwCaYz95qW7wE/3BUJhBvmG3P6tjY
PISbgQFnxrm909u+nH0bjDafXnfOQvqI2Q/PtZ1FPkCMtoH0QRE1Mg0jt1Y0AYDjJoBHXI9Ncmzr
waEgxqR7KsyatyaSwyfMiZKKjqZ90p77qASkGExJm6YLw3M/J8xNeQ7x0vnWZxak5iOpouzoK0+9
ZRS9vtt0HIZbP5rdn5Q8TKexN/MOGF39IBfHf0wwXgGtT6b44GbFtp2b/MiJOr3D/m4ObTeQW+Ul
/ByDZCQ7KvyrmzZ6x1Bub5PLflBBNp96X9obbMDZU+UK9xLBpP5rMgaunhYK/EFhi8YZFFA2ar1o
VpwgviRp+DEk6TdsoumRMU0MfKfVJau1xJRIgD/6A9+aWvmhVDtX+slmNDJ902E0/DAZn5xCVP2P
rEiSTTz5zqWCpndSlEc8Mpn6k7gpDfU332PLcfaK777ldKWa3y75IHZQIw9Vl/svC3ryaUksawt+
3LzlN/NlB737vou97Fov2tnOuu2qbWk3/d0Uu7eaS+DEflKmj+PN6uk0ipArkcbmOnAn/Wpn6T6m
eEJ2880w2oW1fhjRco+MNH4M1qTqzRRK6jZU6VDDXoMZYiQhd/nQLyS0Cjwy02Ct88LhDESjyDvd
bJIpPypGQTHwu0KS+4iZv+yhqHRHH1TcE7EE8PKcxe6rPlm2Sxf3l4Hc5HPPKY9RdgHcfgESdnJc
l2qIjkd+7Fjvg6YePpTS1TZeevU5k3ekqjPiSm1XiOZI7xlmqJlPl2JX2cD0B6EasaeEBsguE2ym
LngTYA9nlwo88VsRet3JI37wJmqeqy71S26CY7VhnJBvytSxrwEh6lMcULIhRtKI09zIS0pz6B/X
TMQPAL9I2FtZf2+V7Hk0KMbOd5jk3LAGTbW5lXTkJRZIUwfBg4ZkWozYTvs+hxzY5n2yAVDc/Oin
po24d032c+7NzUugZfeZ0cY9rYK/KERT1FbvZAHjT9NbEIqihPXl3IGruy6sfm/LXwwjStPhGQGk
dPUuywGUJb3hfuUNyvka/cp/q2W5IOsG9Scp5wax3Qp+1LRlrr2yr+8STmoAflg7+IEyYj0VtC41
Bu5TJFi9bV+DcvLGDsJON16WfOw/h3IYz/YN19TJMN52tSoO8+AAc7phnZiG2Ks6Uc27Diy1wxwg
nrwi9wjsWDHmqnXPEl+vISpW3xSu+tM9LJfUOwgfJ5UHHmFeDSax34h/gpVq8kn9GS033MEdmrdz
RuhtFTO5AjeHXeRHzh1ykwASOXSBgqzFL59wJvgLXSXTzi2RgEd9N1tj+lNGyn4JsooHSNkLP4Po
6qe5DrsJISip3tyy/dP9BcZqg7n6XICf/Kk5g9JZIFiGULw3adlSTDkKzG8AtvIEYcuuabMMZvBq
3ryhWpcBRE/jrbkRujiMvTF+r2/VhM9WbOQ+GZQ4JxlEryiB7QXdxtsIH9bwQIN4OoRPvercB0Kq
5Z2VuOTYnL9QYVOck0ypqrPBCXOk24THAVygd1pKPcB7Tp3bNlVigSLNGAUFc5So45MmlvM0zOFF
JXO6QfTQezuKra+Ux+erIf+x4F2rS76+aM9+anmXkRsUBY1O/5TNwXVeUnvP3sy8LhbMgHsbnO4g
PLMvRAQWB1HqwZPWw00T+mlRLEFGtzG2s8lFlT1wssPFZrFeXVJSe6hdnZfCLcTKR2qCiyemxsVF
f1v6jTOlxRsFAIW/ioz2HzkaFO46T/P4QWYK5d8E3aF3U3+dMd7ZYP2gQC6e+VwWcQSihADYrsfH
AAlgqPXZ1WiJa3eQ8Y82GeWu0033M5sd6wISDAsWxTYs4O7oPTpqaC8t321dU+1yTbH+X6xGALzE
GRucB6ZbB6cGXC/hkZ7BRDZn5aoQZy7Gusr4KHmy4nPKbLh/QFzr+q3ndBxpwgCsTDvSNr9a3Cbb
Ju78K2LysoFn56zJW1vfgjnxcWTg/+yzMq38YCDQ1TYL88klzHdJNiQ77VnLA5YEtU9lgF3Fzsrw
MuV987iICVry0Fr8I+FUB59qEIbNRXBqKBx+BbTMKjjVXYve6MNiRLyioRzzzQN3Avnmp7PLMNoa
OXPhvHU6NrO+hodHEw/XPShOWorXsB/JJM0YZOmcItltNem0zaZiegxiiR1vDsWxL/zmJGqLkLqo
2g9LcQCh/hKfPx56FuPuwHWdwVjZPowkK3c6h7JnM9udV/zRgz0NLamYArNzCrbTTZVmzbyeAZhs
XSflM16TAlz74Rzvh7zVNhsPNR92EXVvgOXst9BQCMGQMktXKFeE9EY/U9ugIHpASFc1LzmEUGun
vG7C/cT8vtoJ6Pn1eYSbjiTb1DjtSsQPWHh5In5UkM1PoQVxjjkz4sA6TbPxCWuVVgz9ffWcBgsc
3iLCkLnCauSZTdaq4U8WlMt+GYz/kcvFfwqnqLZ3AaG0dpsRu4BcR5kFSkibRlDkC1+C5MMC/tSF
NBjhWlXUj+Rh1PwYXCf7GoU1L5A1jeUepxvg5bSQJ3lR7lK9t05s9iKr2oeJPCXdZ17bPULMwTMm
GZBeG4MQ54wuBoi8/+nZCgxGSJCEkq3oQ9ROuiOWT3bNCZxTF8ryLetuQeEKa+5u8FOJTdsuEFL6
I6/CwmS/mSg8gNiD8Seqn/t+nDbUxSwvyJfeKWxlcHVm2JybzFCMksC/onUb6Mg3qgGxlKSSjPQt
zehATJNwYesafUBDbpe1TurpXRE08biMyPnSl26wHdJH1QTDsEkqP3rJsbfcJXB+3dzX+UaCSLzE
kp3ggLm2wcRGcu+LRF5XU+EwYa6YYBzTpV0J7xFbhINpxsxFtKGJBQJa76DUbsY6rHLy6zWc/XmW
18KN+kdnlssPhHPzKDDukJS3MdJBxtj3XeO8OriJH8ipuFsVCmPtaupW6M/xsgeaBGfu5Sb0P/om
T7EG+cW5F/Z41ULmLRKknbrnNpyYuth2wV/TEEPvrDhlrftAjO80kgP48zlc71JvyqCZqekBpztG
78DNaXrPeSEe60wvgvC3TL5jOyWNrVzbfk7iWxRalVb5nClG8TRncIGO/MVjO6VqFQ4CF6mpdLx7
XdvdE2gG60kap3qYhVdlYJdU+3OBt3nvL1nLXb4N/YvVCbhMquqy6qD61n7100ie8X5AtSjxaRAp
GtA/MZsSGM5mEf9Sebl8NhEfni2GI+6eo9XekHoLLQT+7HCNW/RY/OBpG8d1VSh2AlTP6aGznPiX
Ef1tgeNDhE+2+BEEjjw6dr9caK4JTgz46bpoy+7M2s4G1EXWd+cOOt1ENTsfmXXx6gvVEHjSwWnC
L3Tnmn48Lk46/OkGFysCj227MmHUAoDtp+m3n8XlRhfDhjtEka17v68O9GUEJ491e0PRdvHsEro/
CQlndsnn4bvKWqdZLzC99k1hVYfMDaZqA9Sh/bQbELbbZAjqJ65IqN+EJF6psQ8fSU0XZIiD4HmR
mr9o1qEuGdt32KxYgHHCMu5QQSdOfW6Z7cBr+Aw7oP/FDlSGq1t/3YugRSFeV6WWalt36RXjdPdE
ntdjesDaUq3cwQXEYvX9tXSC4tzYfJEdgxqBRxFc/alCTbDmcvhYkNVuG/IoL+FARVgccCuBm22K
J2K1tI6nUSYb3Dz18ghjineEww2oWuU/MtyqjoVlp0+d9Jq1zCdvTRMZVw231lut7XS1pCZ+KMfZ
P/FlCXj/VnxNwArX/PE9jcd8SwUzbKxoCe+HYFmu81R+t7a3KfMBY0RaAzPNovniY0x9VsYxe10H
RDvS6HkGHbjN6Y1mZ0S6PPadRRLfMRMpbRyILwTUOVf4AR+e+QYqLPhcY7DuzG7k+sqEZkDhENgQ
jz3H9o8grf1rbFk29g5n0k8uB3puAoVHUiWEZr4ap6k5qdFzqCWIkg5U16TvmK7+qjW16qum77yH
NJHBxZCde5yQMz6qIHS9VQ6Gsue6y/gmHXiajJUcWFVJLqgqhLaBpoAPTv5paAmjyMe61bDbdUdJ
G7I7LqmcYuJy7XFEOA8iqH44CVsWZWkcWVIUztyWBuYZ0xYCK3bzxjy1P5a8vtig+/owpTrcWIHl
bEMIB/WeFKPLbppMDK36vvzwnZjwTrwM28Kfwz+wGajhFDk2fbb7nxYRbI0zqQjFGsQbwe3Y4yAb
ZMytnGXgBiPt1Jw76ME0ZbZEr5nmIPc23mfjuZWL5boXx1hAfHDRSBRYkZy+5sljkYuCtgH21KXP
XsXMBziReVHB5H7XZp6+FMfWF7C/g1755HlY/+Nb+DbKwhpU3TR9tDnzyxtTCSYcax43vJI7Hh45
FuNxCEn2QaJ32GjyPr0YYVlfhUNPytY0MWEAPbNxzVXkH2Ogjmd+KVrp2IPpQmzo25w93LeQSCDW
6M5r3E2TSCoKs7iYf7RhLpnbpNFOyoY9v2pTgtO+VcfrOpYi3vSBWi6Dim94ViPzUxD53SmZOqL6
Xj4Hv8DbKrQ8i4kfftma3UqqJsZ6H810UZUq1SuENrxKWcouRrmHf6Pd+4PT3kXTxLehpyIhSk6o
cl0CrX8tRs0cRVY5TPOA4GQfC3FEZC9xtOtbkpIxlV3gKlXylZmtU8BakACNysrzvjHJVfcNE9RH
Ni/OLgXb5SomHtQde6u08w30oekdvZkGD4rnXpLb7aoMYWANSTT1a5f54NYoK99MqrAuYTTK79zF
bdwj9+1EnANYdvH4xDsPF8E6Qhw+L6Vln3AQT/dwDaBy2jeRvExrIjYAOiixtflkjVS+ZObRFSij
QHG4XXfvA4fw0xxX4CNoXdj2wO03Zm7H33bjZZeB48Q9lTasXwv9R0Fg0bk+NhKTIP8PYiCZKSDe
1rsFEIC+wDS/kPOS27q3MFBidoMJAGjlPR2a5VGPY3VX077CGN2mglnG5bGwA+tX0YzwPZtQ35UD
/er032R63SijNlDtl18ACtMDdITgCG8cxOYAW9rUQ+L9/yT47//D2CdpTNf63/uDPnN6Rb7/7g4i
MvqfX/vv4KflEt7k72IRsv6eCA/+4VHoIrFVB3YYYKH5V+zTsf/h+pSJ34B+NnGmm1HpP/1B4T/4
B6FPd7BjuXSC/Je6RfyA1Ol/7xCiosS+jUN9AqiRa918PH+LfYJuabTn+CgEmUe3CBdhQ8bHw7Eb
xYH32WGDf7Rnq15RBAHUA4V4Wlv57MsdfoieMU8A7ayjqDUfWadwZrSsbq8D7SMVwtya8ba3Sf22
OGJlHL+IPXG2zxTphaxP2H6Q8JEVGQOxT85leDMAKespJum9q0AOPUgHx3HRuozSq4GfgrgRNxl/
mLZWbg6iavTvRI/gq5GuYnraGGIWkR3eW/2g7pJQ2tuZezwH/4FQH07VrduXatv1WXjOHDtaU4KL
a8jGt5dmTvSdMeijWa6drZ3dxe6+ngfrOViUesgbjDy8M8GmxEMerFzMqydhK7mxuCXvJNwPAEsF
1092TP1ZhDY/KCkS+MZhi98pGWc4W6kLR8b2hvCR01+y8dumvtLE0HxZZdHeu7l15y4c5iPrstQ4
UgAfH5a5uBvH4Ey+4DEVpGk8d7gGVX4RvHMbdq1+h119v/iJPpowmygQhSlbADstccyHk+k3qBn+
S+8FPhwiahqsje2qR1lnZ53fmm0R9zdxxQhgFdbkVlJIMvRloXtxlyEI+gm+Yr7MWscfUTZ5x2wJ
myuOTOp3Fyn8l4ISjpPO5u4w+cJivo2os7Z6B+N6yOlyReo5P/rlFBxG7P6HIhnG19HxEAUayhah
ii5c9R0SGFbApb6WrfjVOX28HnJPsn/6slsNlQl+GG6uZzAiZlUmKUoGFw26yOjg/qYtmiEnT+WB
2Rn8ldpLq71Ve9XH6Emf7lsKYwtokF+6qX9iaQl+RtES7IOyyp/K3B2viDbolcpg7UdIu6tUG9xl
Bfj11mYKx/Z2F9dTwiSSkIFuHXGILJPvmUvJx4ArvUI/Z5DLPZEn2uPWv7LjAfIda38xuTcSVY6/
i9ZuUH+LrucVrOPgrYe0hL0tMukRO9L8PKlkOpams6/SLijfYsA7fnKcMHD86QRxFljZY770Hwbo
0F0M4/bANNZ56awQATI0tXkAPa0/Cj9u9TrPFhSYcRJee0+5MHVpsSmF3rh20KHz5mKbOwY9JObm
fADEOe3pE+PbVCQDr6Pvl29uLQhndoK3omVgnMJFgJ6xqjCbnxeuH2sH2PApyGS8FQqwFcuFjTZH
n+A91dYozIsLWw9x7G70I+s62fAWV5gh52dY6/bJzfuuJ8Jj15jFZfJAfUdKPtrO5G5krLBVU8Cx
EHatOJcQGNjgbFPbfFMUPuYz1SVG97/itBu2fTxVJOeQDmxqfA4BZGaIDQBTuIZzN8DE1dwBaUvX
Y9NP8Qo9wdmFHiUgnN0LdSczoj64X/w7O+2mM3nMlCOs7O9wGJtLWhblh9ew7XLmqUdnLefXJnY5
F3mNE7/YupRftlyY25s2WuecLjhrNtNGuWj7ijTgPlA2n63ZlPl9nBTmMRzs6XH2PENqgnHnusGW
s2FJ3WJFPojW0ocAbvkdc1Ms97k3nriqt1fbj8qr8gLvrWXO+Aa/uP5tnAbm5zLV8hAvoXgOsCg8
jNyU3rDYCApuG5Ode5N1K9UHGTmciEf6xjGscvw7tW2aN68GsCjwEb4pzBo8FAxbqG0plq1jz/4u
cyN7L7M8xa6RGvrrk46Jm+awKBAbn90A/ZMqdUKdDv7mI4405y4pKTqeSx/vRdRT0oF6sElAER8z
PUTvldDBru3k8NRSyHPlj/ER6SN4V8Yu96SE0x1N1u299LvhfvRJn89BP+5cW5YfDPqjjwgn5pXE
i9rLSSg80rnkaff77a1RzV/jhJRHnY9IfW1Z4kEq8vSUz8Vwaka3vQGK9ZGCyvLatBO3vFz9knoK
qanvTkScbv7+fkdu7KNxFkDI8xA8JfDEk5L2uzANkhc4gOPvqrMMgUtn2vea9D1TXUmS15+XMiC+
l9InrV1jdmJ2bjROMnp3TQCLbrnRERDOEyqOabGIURkOXsbkqOSw7jrvetYnBijiYtfjoUxCUFLE
XSeh9YGleosUWq3LrGwPxHWYp8K1XNvk88mG6p5hIkAipzjlsFtuSk8PdCEDSrKW6TDtcpqjjumA
YLgmDwAFgJTKKtX6w7opzePACG4dGmcCSmt55lnfkggw+5atbA1WUZIiT47QHtjFpI4OGAxnGPEh
6ALMEaT3nwLsbqsCj9DV6tjPmsHJD3Ekm682BNDIyIm0FM/8C3IRwsbUuJcUcWtDNKXZ2F01n7np
73tnWQ4+7ph9xbAbIFL8jTWQ/yyARgpwD6akZBWL2qGvEfqQ8wHTxkeQOjV9igJF08uBuWe19ezO
Y4eSjOvqIQ2quV9BQR64G6VEUP1qsnclFxXo4Zb4M8XaP5Eh1m98Ptq7IGyGg4OkzzYz1N9lX46H
UDbg6chmferUQ1FMq2uc2zcxdaYSbSzjZ96AktdU3rL4uQ4/GWOiIndtes8AOcP/MzON7iYbM+FS
Xwunsu46LLxEMq1xO6ZJQ3+jGMdmZ2TWEUfvSW0xt47+lMIhaypEtDNcyaiod/TN5hQataVPirJL
n6zwsXIr8RTQsqm2+JvGQzXdBqVciX3q4qgMeuJ8oapLQZCG1HJZpOmKZWCdHhn/L7Tttm1mHrj4
6RMQg+Ixxj/9u2TFmeH/gZ8sppaUr+OrV6css23GcReTKzlyUmnFbpIkFvhz4BzKOFU7J+OOJ2pl
bZ3IAnxMJPRAnJt6n8A0T5BPHwRAkIq8CN+wO4LJryGl4v0IrSlf9Rwt1h3murXuzPRt1DT9MY38
7pSnP4Ji/PQbGh9WHo1UD0zwfET+AbRvoBSzPcfcBY7GvdpYIww0qTd1zEAm6FLahnDJIX0Mzslp
wxe5mBJNweSQKMStb73qNmnHCJEYcrLxCq/apbiCz2QQzUNPEmQf10Y8Y8Tr98azfewclX/xszn+
BvDv7PiMJmSWF4e3YShfFNGhiwJ1crWAqFMQOvY7kZU2tRGF/5xAyLuDKYFPM5NLtvHcnhog2jOS
0yyCW9ivT456CtovOxtJ+4omvlKWAjPI1DCCWaJWdZd5lJ8CeRRF7GyTVjDsxzuv1iYEg4kSOhGK
IYO+hfAqagppTbBFz0x3WQ+GhdOVEaAcalrAcFVitp7cQzn59jMM1HTL/RswiJDxwQOat89nY7/1
SOarRtJvlvujOaoirq+BKWZ7NfiojNR0C/XuKd0fWpM3T5bj0PsgVfLgKtxrIaDqNzY63NY+TeQb
oIly65owPym7DOmV6on5Jk31B308vPidV7yOeVXuEUj/g7wz661bydrzX2nkInc8YJFVHPAlAbJn
SVujZVv2DSHZEud55q/PU9unO5bsyOhcJAgCNLp9+lji3mSxaq13vYO5rU3XOiypVGckRsiddog4
K4ZKEA0S+Bw1sKtIfkrtDSPy6dia3a0y2x11KtaN7pJsvaz5bATlph6Jwx5m40sxQA1FUqU+2hhY
rRxPJxmWNC2V47ZE1JgTwywgF1JWCbCfZAxGiqcIbgc5EioWBu4deUcIM6Eizj2J3GqDKiHgG0zu
Coe54Px9QYUlf1FyvOnTMAL6uU8zPNIIMDmODhPxHCvDVjhkDT6os49zjUUMjPa0NT7WvjXde8xb
HmZvqK6taAkvvNmqvwTxmGwl44eepGgr3Ec9o//J9pedqQyAODcFzCIq8qYA6IHoTcQRVrM8AXPt
S0oJg7jvB+kwe6KoKYZ1YHXFHpRCbiWYkIfT5jf46YjCjam8NvDKPeSN8wlbUXFmdJXaBrUvHqy+
dy86oYCdar/c4MbCS5sqCOxZmpJ0bjegsrW3nDWR636lUg/3CvYWw8fxsRzUTd/1HyQVympOmaKg
xpk3aolm2CbFMYjT5RgPuLuisSPE1RSNH9KVRoQ/Z1PDiErbLHy3OkxxmdeFpK/MOUXhFo5E+RmT
y8zaVLHH7K6JnOGITno+i2qq3RXJw85tWbbDdQvlwdhNbAeXc5Raz6o34+8VTMNNJQ13O3aRdVeC
2vsrTCNgYji2uS3nwbmQXW8cFBr+TZssJZNRr4+XLXS+6XloQb4iAo6LXsHmaXLmdVOd7YaQ3snR
QgKblKTLYFTesKnzpiPITS0E5JQDqnNSbq+XtOCEjgq4I/SvN3jMBExSkVXe8aL7Z5M/jWfEbDGX
MKmwBfPkFwLKKQXzcZzuo5yhHbYyHv4bXl30yBdwHDnij5BcD6eSOzuV35auxDmFKcqTCvMQbqS1
M+nlyRQZo+ja1pU8iCJ7k6fre3Gq9M0E7Xiv6//R8Lqjr3sCpP8+uRr0CX0Gm1f7f3rXbTLCyYc9
cJ/rBqM59RoOlRmbkW5B7FM30uvGJNctCvR6upVANy5jgydF7oyYD0SzX2/tvja2YcQs0D+1PN6p
/RFug2U8GdET4iEHaBAV7HZmQs4DT1m4formJ1TCfawKNAU+I5SVVQzdjZyaZD9j8bawidFvMUv/
UDUSl3mjujOsOD4wByqPtlGVd3kvJCGGVMrGDIt+VVIKI6Quama+On+NqDpnhe9ItY7QjDKs5zms
o9AUWriv1j2qmBtGr+6nmmfAmFq3jKluHoGn6SPTpEkvo7QDKaDJlIU2Pj91ns6pC/V1Q1oJO93X
ukmFUYVrOIGdx5oOFuokqSu6qc11e8uH1I0uLS8wtfMp022woxtiT7fGygg9vPnrL1idp0+ObqB7
3UovuqkudHvtnTrtRTfdkW6/fd2Iz6eePNPtOTmyRMbqlr3Tzfuk2/ju1NE3urkvdJu/6IY/YZPO
A3SbHWxWdGEnZCDVIAF8c/egNHBgdb2/eX9HFVi4/Qb4ojZEGGe5rnpjCOo3bTjLafb2APwflgf7
oX40Huq78aq9hWBUXJOF8v4VpXZQeyXGs9FGSOwfpfR58903V9Q81tzBu2w/OF7wlJUEI60Ry85X
cI0Wi/iDsrpo5rpz1pgtRk9CLd22kgFJ8EJNtlYaB7siGRndwTjGBGQJkH2vrRKG/35RgfG5Rdl8
j5scO7dTlCOEBal5q106N4epLuujnTfpOSqg6YyDmdcNdGDluN5dj4/afqCaonfOk10mRb2bWwws
vFItX50xgRs8BtnZUCtv382Z8TGPR4x/uyKFzweJ09JBUhcD9d2HiAnwI/QHPPUJYIWiMMXNJwnT
mtcxt7LPf7ipWkf46qZKC4dn4TigqBJ/5ze2dS3pI/R6tbGfO0+eF2l81lmBt1Wz4W8ti3bL8m11
Y0rG4gw/0NeruFf7wXLFl9aLomLNsC/8Pg/9eJ5ncr4wPNHeeICyD9R35ScbXkHPOHrbm/6CW4M9
3jV5R7JAblQpr2Zi403hzunB7MAOMJDHTWnjhIYLvyEsyi2ZpPLc9q2BApkU3sdm6aFQ5Z3DGHrR
5xETPo6m5HRMLacjS56Or0ifZL4+00437O84m5sft6Y9Zbb8HHfzypOVHEj+819eiXJf/8R/u4y/
NWVbvnRv/9arH+I6f1/4/2aOjlC2/65B4/ljnvf/+M+PefUf/7h4pNaPm1eI/Y+f/4HWu85fLibo
vKa2NikGnf+Xntf+i35FofkzHf7H8QDl/4nXq79YEQoMH/G8j9Hw/9Tz2paOFrcAnvB+NR1GZf+O
nhf3mFfrHdK6dNHz/rJdgXuGou8R6+R4wK8Qu4wC8jaEXVCb4aqColJu/SCAHCkMIgNh4Mt0ywyq
vpinITgrw5BXOnLVFd1vtDHnyYV9108HRtb5lgMWaUxlhOSg9jAhNkFLizUGdruqy24+y7WfVNbC
iZr8rN27XWRu29qMDmXe1NcC/clneDLkDrpltM/FSP5wn6UXzOH8M+w+KGHiIseZI2rO83iQoHx+
/Oj5jYPqyGKKGiSVPxBCZquNl8hqn6KN3w3zkK3KanRacHQ7+VDWRWdjw49FzQKrHNZAOXXPZKPA
o2SCbt13hVHeIa6M54uaiePFTPzksQIk2gVeGeAxIb/LZFnWOPcyfoQijak+Y/WRWrYC6o+c4FtG
s7RZaBwv6mSoNlNbYM+UDsl2Wjr7IIJUnaduNN/3BK+aFy0CH3vtZ9BPEeGAbKBuzNVlgd6VIUDW
r0rEQxcKnd8TQriBOXRlkCFpCDQwzLH91myesc1MP1MqVZ8J1ekPpqysB8I8J5chTFScw4TGIiXz
iXSGmth86+2eZDkOdWsPt5EKEZKNOhsNCG74DcTGvWFgD3a5SDfg53oyDGcBppJNC0yDODOaC5iD
1aNRxSkBd3Lw10aO1U5sEkEULAm/Ja4iPKt7u+m2bTNhG7TY1jZaHLFZmN5vIv03mRehCw3j3rqD
TZa/1CNPYWOBc31KY0kTD+GlCj+yW2J5jWiyBqR0aK7XGf6VkNxTL7zOsQo/8/M6ulEQsIAqGx3l
XJUjCioDkBwFRTTfBCG1bNvAv5f8Suum4SM+9snUC4Ss8K7JK1dwlQyOw8IYyx2RpOhjC65yFkkD
J/9IBC9z5fCZyCRS2XYQkW+sBUslAvuurTvXaYNH3+xTSGYB0gw1CWu7AMglG1LCiTCgsNXdBRZW
pls2tyXyMtLOfCQbu36hZrTQwtzF5Ly9KDQm6ylA0jXD2qywGRU0plh7dP2qIqQNKaSX9f0hQVPy
PVDG/LhEi/iIPNxTcLOF/YLLsMcrHaqyhsGUEz+FPhDZoh0jdV9VQ9YNl/lQePaGgg2/Li+zSkjz
g5IHX+XMvy0DPgjuggtORhInQZwKk4m4jjrqCbsAdVQf7NhFSmVXBoENnWpJtUywCQF6BzJ6ZtBd
0rDFmK92OQcUuTgFExUDxfG5mMmrXsF/9O+yafpmmYM8IzlZfcOiJTuYZtbd4cJaHSedCb2IWt5w
U3z8mL1q+oQzc/hIVFd8lkOmO6tmpN+N1cN0yZzOv3ZT3/oA9EJgiL1E6OTykXqEm5l1WBwuI+zn
uYk5ax0SkbYjxyizHiP8AMIIl2qo/OfGKiESTJ3RATPE0VNMv/wUBsmwc4hg0UmYI945mvE0q/wm
QeHWrUikwhUfRwH51Wjgiq06185xcVzM8ggdxdyQCh9+5ZfkhyQyzZs2obwfpU/ecVptAV4dXM/Q
2nsIDbfx4GXHbrbVV0+GbsLsDJ6a22J7te6gRWwruEeIxiusa0RKF7YeLJx2MM8sEYLjXLQBIuGp
MRYKjni7TweYjR7K0dystlPlBUc0uxnoj2Gi+qoBgaotd8d8hDrif3RsEnHMtvXpP7Nb8JBxHUIm
Wg3SK3bK8LDunVRf3Ttq8C/yKpvWoZTxN+xL5Tnt5Lw1h97c25LQjCGx461qY4+RU5kerJjgjkxF
pP5gcgqE4jbbUu/pBR4nm7pDx+6Ek/xCogwCjTiSzV6NxJwBucdXBvveZW46Aioxw6dIBcMGXWB7
RwiovIEijS1XU3oEaMOw3TtjJG+cXqb3ojWiZ+EWfrQix2TY9ngnw+iYkgNBc/GhL6CCF2RFnFc+
FH4JSawEpEQNu6nGPLkMFbmSW2GPyxO6wvaQEHR7h1IKj5upu2X85Gcbdksk9yg2rC+c2z7ym7TN
VkrNzu2CfpswURzc1rVv5ue4yszFNRlW06dkKqMXwiHCuz5h+mNVE/Jywxz9JwzDExDXRoL4MgAe
89z5jKsAI1pzwTkrnvMDrmZ4y/gYKO0KxvECK4zRvc0n2z1mzUJDaS/jcWgMeeXUkWsRkCIC5PgI
ihczHM98es1dCMR41iF5xpRdYLjugrXcKbfNtzGBp2KF4AQjI2XH0ZXlDsuj4dlCd14LPa2Zlsgh
IDYdozgJ15glGSsIW/K4ePnwxcL3fEd0Qs9oNadE9nMUBiH2ndWKINd0LYQszmsiOK5QNGKitfi1
9WwPZXEFdjBt03ZmJobpMXHzvdd+YyAFeXspGOeNtXG+eEv/nHtsyXBBhw9YjYboniR2FzZBKOch
MZOPBJtAPC30NJAGyMzXc9Zgy6yUvQ4bxz7rIRxyGsDQvXBHIS6GnCmMb5j9vrITTKRkyU5n8DNn
MR3UsayD6SbxImePXjU5bx2v5m7iBBaMqFByjhMYwnNwgB/V3o2qWXaGF7j3beIPN9Ew2oclnzmv
IZRceAjvI1MUZ+1gSIoBkOGVmzgugIYVPv1/X6FbOrvgp8ZOdwv/+MHEuXrMn//rf7rpv/ffouem
mX8uzP/+sb9pNBTSPoJbVqCi3Pw56VL9paitXQVnQFk//s0//dOp5nHf0b48CsoMxqf/ItII8y+P
DAaSMW36f1qAf6swf9vbO47NweqYLv7uJn/UaMNPNBqFnxnWJ3295Sj/EkxItlEHrEK4uSRH4zrL
AHvahb57rAr720936u+G7mezHY38/twBv730G1gBjSzjfLOtgWBARsNIBzcky6FKg6exhrP4/tWs
t7iJa5musLGcV7g2SqhIr79pgjMNZnEFSskklby3QbdGuU2t7FkpoEH1YIZJsudJE2CX9R4+dAO6
buYJm8HpH9guEEcs4ackT2/mzr1UybS2+0ytOhPNjM6uT1HFYBCbXAibvvv9Ty9+8/F9+D/YEknW
CgvqDV5gNXnrOgOpmIrMiINr2wzHy85oVvUgZxqhhcCzCmIf04Tpxu+T+IMM1DUaX1T7BG5ipVs/
pJBt1olnfjFkcYxsubfKFC+0ARu8HPyhprGYRv6ulRPaUOgdMRw9uOBRwYyVnPGwtkx85rSdepDh
tm5kG8TnK3e5BRGGkRlvBxXdSZUcwnl8aqnU0xGcGiudKQBIQM5+S4twV2HTLevvs243jGn1FT/R
Ze/OFOloDdzLssGTfyVQrfpej8VO5BT7tnWyjUJzupkK+5NshL230EHfO6l5WxiYgBA8Ed3Z9ZBh
GzfNj0neuXD6E/T4UddcWAk8ElxXTXflCFL74FzG13PjUkNlY30w3TTcIWCdSHAO/HNJ93P0PPxd
iVdqb0bcNthSWxTwiNC/2iY512ERl9ceRSiKtCrsV4XjfJ2Y6WwJy7SeKrUMz1XfmeeDuBjx07ki
bQ0li+nBuMKFA/sKhOjnyFuXleksaxgXYoezMhGNcfI9DkvnbPQ9nwoda1fcqnAPrJpVOUcwajKs
DqLzmtIpHBxr5fJoVAtOpnXNa8xzY4bNAYPbvK0vhYe6oS/vGV4VP+AY4JbfJ+RabECv3l5PmRLc
CjsB5Vpw/t7w71DjibrqZrHtsww5UayWslhXdRdpVXxY7R22rvs4tgiliojGjAJFrH3l1cMK+UR5
9Fz742QN62UIEOnhr/486WxNOzWzfauCFhVGa95FKMk+t3XfX7pTYL6c3qn/Y4jSK2jq/6G4INcX
lDzvAk//vfj+mD8W/4Ai+o8rquknDOXOWtJCvrc/n3P/+k0/Tjrf/stXpuk7wuYoEcCb/4SgfM5A
0yFNU/qsFW2t9i8Iikxn/h/Cp9iUAYg47/510nEGKtYYjFG2POgczr910ok3k0gPCitjDlOnEQGH
wZN+fQC0bd06ZTw1+2iEygFr9KnAvGILMoZYgNTjHR3IC2ZqiFb89IlqD/Ufze26xlp6jkui+Dxm
7cE0qnUwxp8GBmTrP+zyb7LG9Ef0wOp8xQtFdgpH+6vTGFGjMkUaNnsvBz4gi5RExohw3Dnyj4DF
9KHoytp+A6MNS1wH8dH/1geQALvcKjIa9D38qRywUlF5xNE3cAT1LG6ZhnUlMo2DBUgmKDz7IAjY
87rzHmOrVSL4HO9/hNc4IbJWboGDH7OQnNOYE74551oZW00GqXTf9KFWlLn3faSu4vpPG9jbqcbf
F3K4jCSnBoPr11+VtNC2m+ey3hcl+ddd2GFl1VUPZU2APPhJvJ6doFzXDujHMI4I6wMTxvxk3aoC
XCUPCFS2DTt4hM8wagaNeYcIdFjr9wJrt6khur6c9w06ya1RUf7DgnG3yqkwFsB3Z+vCgNvhCHNT
Gww3o4AbOdfOlzZoz8yGnGYZ1/RQBcCOYVUze+ISXc7BRxw2WK35cl+iZt6hG5mupjZ9EfaSbtsh
e8IGy9tkTUCv4z8PUX5nL+4fRhe6UPqpbuPG8UpA0zMFoTiS/f/1jXOXghTWmEhtZTOwQFv9hdyo
De5HOApZVrzG1NtfufXg/yD1/6+PHL36X18YXNthroOa7bSNvL5wDt+waplv7j0c/rZep+2cvaU7
IDWxNqGN50nsLsO6bCx1QRQqcuOWiGkXWsnOzxBiZFG4o8ODAOnyTp2EFXDFiQiox3mfJRSEnm8R
K4kq19q+v6rfHpfcNM5pD2IAqxphlflmWZu9L4fZjbK9L6xiA8dRXSCxwM9yAJQae2ROLvnSXdDl
V9XkYYwszsY0PAcIbVdB7pz92IDktCvV0dGEaK+FFkbGdbtxZ74NEvR4PdnLt/c/96/PWjqWbTl0
LhZZTnpc8fN+QGSnYeJdlu1Ho7FXUrIpeKaf/rjRjYPldN0zCTZkZv2hwNDV/5uH7dD2wBVzfhdI
2FuQhXs4XftgaCtgFozZfY1lvv/9fncVrE59Iqr4cmw4r79fkVU5QQ1Ztscnrti7TZ1iehw9vX8R
T/66r2O9iq0zDZtOqXqbUcW0wXXRRBMhbGUvgRvA9HJanz6LkHjABF5y3xg5WwbtHi+W9DxX2YsI
5XKLJ89WFbgyB9h8r4UGvvNOGQDboXnIkOnvUmxt1g0cprVNng9WkfMOzcSVNc0NEVO9t0mnHqUC
8OfOsEcg8wxfIOajexPEd63EZK21Rfm2jPlrbaQ0n52PlvTg5X7Az8uaqIwZ9Ty21PypngDXk/DE
qYp92B8Gbjx+JVF8tZ+mTrcPsHf1RPEpX+Inldi3ebUE51iTYkxlJy+gp+UBo2niPfziYEy+ue5h
DO4yYsKbMPBgiLDn1jbwLdbgLDjB+i5CNLlDlT05A2tQpuHHeqmW3ZD59xGLAztQhJeufVvEuK2P
EfooiNAPCGb99ah373lO28/VpLB2NxD9TROqh1RyscxP5KPAWR75vqtHv/FTG07ehpAIYBYHSUBs
qa9FY0Gy6HPrbiiBEJN44SBeHAPVfPIiIr70KTcz14kDYdfdNVb6jDQPCwesLcNxHNaoJZgH9RXJ
MhwgTJehHuaN8eBqz0UZNFrSYXv0OGhXe9lGO/YynJxU/MTMD9/D2kHz2HICZzPTpFzmR5VVHxLh
39eo9XkNm24DORoGuG9iw9oPkggQHk3RNnfEhRFdXPXXFBj7wC2ecGhqztq+kivDJQPCn3ia+cxm
2dQJTORM205lL4XfoB+tB0K0ISXm6UsGsLmf2rkl8YAv2o65Wo32ZWBrCksxwMc03as0QN8mas6A
1Jaoz3uatqBinZf6yJxL6qtUcKl5SF+MkMGPw5MFoUfJjASOVHn1aYD0yxOHRmzJvKV5DF8g2LAI
GB3pMFtvY0TlEWItQTwpJ3W25E+MA7Pr3sfP3BkM70NrZbsliZ7gM5SHaDaZHwGRmdAVoSF64ugk
PbWVfjBUBletw9QIJ3L+Sa/deWTZmFg1keOYdcRWx09eQM2oQvvW9jJfUwmePBOCV8oKFx2vxmnh
NgufOyBjC6UmTlO5g9WZd1/5FDIRfp4/XoGcFSaEfdt2TYs1CsUnBj7LZTHxsHqi7Fa4paB3ySvS
nCJWEGofUjVMXpeqL1GlWFDsR9PA2x7fsnXlsWjLLn46fXA+LlVMj7FYYnCmEc5J76v69nPvj/6O
hpT9upp41dyouix9OEcgudbaJUFgu9TumXAmPlNuGfDu/WSdTMORbGswA6xroY/h5wQT4sVo9Ybl
ElWD0vqWpZv+eMC5qW6trH4oK94rZ0peakTwq6BOnk7bBe5FL91EHe0N7ARFEnKBliFpl3GCVA70
kAa/vlU/chNpBqiHFuopqmR3NShx8JSVHLPSSzdgUh6QvEi3zlI9KCLfTqeTj1oYrhx3QAkZnBON
9TKbQXBjJeUup0hax84it01bVBDVrA376fciYzOxLVZuQdG1wjXkY9uSfysNfu/AXst0mhsyqX3j
Zk8d9ZXezvAvYsvLnKvTptQrtpeoax+Sic8W9w6p485yqDN1S79DvLvgVXG85Gk24mTt2Q05gwMP
99RN4IwxrEnMMGBsslhL9+r0Dcc5fdGvRB2rW30UMKi/7So+2OkZVJZ/FefGuDIL0qHT8eihgdOj
QZYNxoH43kJ3L0XzYBLzd1RN8pJWYYbnJ0ulwS/wx07nMbFdq8i7L2fFjuosBvM0f7xuPRjgOJ/6
yNXQtY7Gwk950jgQ4BWcd/rp4JiAXmgpjwRBmRuFGcZqIv/j/LQTx5MuxJwQa8pYC2ck+tV58QAh
Kj1OxaGCT+JNu3bi33otD4B48WoXlz04NvOOqxLZz8ZTKGn9VotiTe7Y6VyxUz4URvO8qo66FU2w
hcw441INXJTO3Ei9wmAEUSBXlOnsNLuBHMfVWLLoGp+NJ6tYVvnA7uOhet3bPgWFfrpt0jww6WdK
H7Hr0wUV+zrkF9YDXcFp/8307hjUEMiKVNgrwy/LQ51gXqPPOAArZLURq1r1vEDukh4xmobCU7Pd
JBiGb07lMFOVTEcCIYELsvmjGdUAeTlvtx1RXMEhfzqtlaLLn0D/X6A73QdmgnugamocI7nV+rQJ
fPbFtOMVIJAnJaiBzFlCKsyV1A7LsmvgmGMMseqrghgYhC88W6S/JxWyEro+V9gy1nV0yCpi9DhO
6it2yRqbnqg7kyMK4VblDnm1ES54YvGxMRtx6yj9ANuWTsLgHvHoCSICkppqCZ8iAle04EnGu0Fg
tt0RyLnHNpFSAy8qXKkeIKl3u4nO6pvhp8sHXI2rC8J6pk1YdR9wZYGAbngxTltCPJhS4IEDM5qK
GOOiqBfBxrYX84D95U4ttElDGerSoBrQn6vIvRE9USfjMltrOTIYQslUnnm6gUsj6uR6aa5s7ER2
rpzEOUKip97Ipk3iWu16SKFBEHvd7lIAugsMrEysN9nsdZtXulW6iUTMf2nYDtlTdCBPtL6KUeYA
QyYw1ssM9yIJ1bjtCbidslBSowBx4e/NyTtzxwareU4WCrZuIKxK1AUDZ2JTtpYrzzq/fsh8lDeM
hpfVYDsj5sM4CuEx3u4rgTVxnMiAy8PoLDp+mZaKr6JFu0EL0e+aXp1n5fA1zMLxOe0aEh1rL9iM
2IEDHTrfKnfcJuH8rYdrjftVxKZlYISJWWu6MsgmW7MaIMWmRQwqimgScZhl0sPFDqJ7+2AkUYJs
jfibIZQbiucbA8tLo2EDQI2wC5lrb72QZxpGl8bYXMQl+68cxo/CHM8bhwx7LyaZzfeN58rhlXbR
+28tzVJIe+NRdey6SS0YCi7yNkwTa5VgPtwYNt7miOfJGevbTRML41BD+cTbOeet1Z3PAuEVs3G2
pbiPXwR2eyi5qJ8Eft+bsojmj3aHYIonvKCd4ATCAix4GRMtJhBe9olwLnkhF/PhhIsbon3AJ56S
Kq2bbyGeQWxvRb/FCqTbk96MRR7pnohYqJhMejg4b4bFxqX3cWmkR9vknAvZHBBQd1tjKP19XzX8
lO7olU9x59q8pl5FIYOVw609eehvCvQPTc66JTwPjkPo75FdPZGfSSBKMdxGHism8KGcGMXApslR
oD/n4Jm3AvRh3zqCtpDTeuVTZvciekpV+WCmPTWyMm9bTGKZS7isUMh950LgHhCbbo8hcXhD9uax
msVXGsh6Zw6quWhNq/nYG+mXhDMtBDivrdk/Hxs2NWtM0ssEovUW409v1fod1bXeThdYFpdpz4k3
eB3qH+Xd23H6VM35kQJjulncCY1XbV9WDXWNIfwjybwOfSPM+U6bcuDAAAlixPY+WnadlfFd48a5
kmMS3ZiNqL6cqD0FZfJWpO5ZJllhFeGGB1QvJQUW9zTPRu4zVNFP5Jw22LDH431eGzBAGpabpcEr
fNzW6I+wzvbY14KWOieto+nKwKuzXzm+3qT1sAMFE7V3i4FOAiWIRmeo9kVMZA3JvSh/xT4w+/ZM
+MlLYUQvIad903AOtSR4hiSgbE4neoesjzMiear1Wg1ZJleBJLMupCaguYavYs/G1uADMyHnzCzm
EuKw7lqWCYAIayjSvMPmocw5eoaxH6/DilfKQhNCVYlsoevn4HwGmVz5ZjZdp06X3tU9QU5YRmyN
EItf5K5Ud3T0iApZk01XFmgLbMooyWwo9Hzy4iouk1ms4Qkr369Y4ETfmxjnSFCLAQSkV2uya2BS
Gawmfw6Cx2xs+S1N/mIuOIXkAd4PGafeafXTb26RaMbnNKsvgBB8q0xbeWEh5FtErnFMtgEnV1IZ
zxqoUnKpD5hjDJcKQSd6CH0GhqzPvmQa0FJDsSmE1W3jEwkqOx/CuYAyZ5lYEcdsY4CRKQFTlrNO
ye8z+oXQyoqwd2tZtrLm8nPmUa9KCqzYsK6zZoCaLRn0GNEoNn4EKsVq54jreURDIW9PZ68/8Z5G
Mrh/v/E/cbHfghiw8qD4wqU0TefNzJFMMncIkzndGwVNJ16xyUp13UMN7XGbmPmCg6dI+RY85W7J
ll1k5T1bDerW+rNXV/emFwveYRpdXWb0rmlsHde9TwfkWRaxEozLjAO0rn4TjcRUVKPmwhsw2ryO
ArgLP56AzFOP5Arre9zl0YszdQRJd1gU4YmAaW2n/URwkXWqKT8S905BN+ii1KUH6giBp19CqGp0
aB/wuBI/mrCeSetd731PjKC5KFoExDLUVWBEPqFDz7tRoReQrSCmfx8iZyJgMyhwgQJJm3mDSCUY
YeV4pKFib+kpPXcMztseRMKxKLoIs/sUnzZecPx12vO6CVLI/gBR/wYU0zmVLpxYpu/gua9BI2bM
tUJl1O8Tt0WZZy3RoW2ok7CLQEeOlJ1EuMFcE5Ni/wGu0iTet6gY7bu217DZMMCSXl+aN5vJZer3
ew9HlpViU99AnhR38eiQJrlU1dfeTIJtACcfNwHcbod8+OBX1h6SmHh4f3X/Ok9h/sdMHSaf67K8
3+DAvdVjbljiJyD1JqABA9nxSrvthP5M4Wscsru+f0n99d68T+CjzMAZT5iCwvv117cLhu0NoNQe
/qq3zXBT3NYhfxJZeT+1zbBCrTJuirHJDjHy1sP7V/8NWMicgA+AyeBplPX66jk31Yar2+1rj2Is
BdBZw6Rr/7DCf3NbQZktbBA9dM+/jKk4TUkAoZbYLyKW6x5B76ZJpq/ocq5aP/syd1n8hyuK330x
G0KJB74tQPf1qvtp6lMXTUhZgkA0jJP2Agsofxd3sjljSwDKGb37iONzBRUCbM8Jn/Ipm/cEOlSr
KcTfIBvi70v26f17/YYcovFyPUd0kC57/Ont4iLPp4l9s+IdS5OvZaXm5x/Fb4o8o0TW+weNi54y
vllZCqc6V4L64yZDY/76FvQWITtBkbZ73OV0urC/wQ2x2JaBjBE4cwCLwXmUWfKxMrE6Mt2PTewY
hMqPl5DIv3ceeqRFYW31/l3QU9lfPpYPnZKlzqsNHf/1xyITpJoR3bb7HOsoPOIpnp2araY3C45M
yzrrUcdEgGSf7a6qdm3JIzIiaMmxUT6IZgKYoo5DG2xZUFOwaHQd+2oUXbPqkuSb0x5UZ06bRVKC
dO6Z3dq3FjUOHt4YfIZ9Aq8k3GIegD09/IU11vubTE8dU8jYaNAxApR5R4IKNFAo0jD1CPjIyfw2
cm4NUJYe250OtmQxm7P3781bRgxLRE+SETTY5JeRYvbm3vhimNDdm9WeFJppNas6XCM/HlbZmIOL
uXW3niPitCYcMtFoDebpawKtrslZx3rVc4FqkUAS0IS4qDJ7Y6tMpkSDrpuXlKq0zcPlEkgiXTUe
SGiY/3E/02SyN8/XVZ5pYXEPzctU5pvTDCyDfb6h2KQoxTfW9wwIyDa+aW7z0FsKya6THz1fNbhR
uFgYZ/GuGc3qD9vqr4vfVbCLHMtico++682dzJPFrnCDr/eEpZ9bIzcGtfRtXAzOHy5k/brTMDoU
ZCMx4XVRr73ZaZiCBLWVpdU+KEAFE+oeMafLrna74iVbWhAOF1Qq1ugy/nblqkixm7B6f14HyLU2
YxU9WbTwyP+so5vT76W0gNzfdFvqnrGgeQffPjY2s3k7A4YzoKv/YZb3u4fGAI8BKO5TCuLem8lx
QedqiSWq9hEBItirynjVFFO1zjGGWE35hJJz7L/rfmlOgZ/6OnrBIuoPO9avG6QLLYJ5om3Z8tdj
glik1q2EqPamLJ9tf8a6yMJUr88aaz3Of7qa9esEy0VYhJE7GiOBodHbk7cUnWc6VsX8khy5tCrn
jR5LLpiprH0RKgBcCmptmIljhUQlQYQw/gjppaOt66SJfbYn5stM1sthoPFepdi0EhZKZ28E7XCZ
2OP1+/vDr+conxiqHAWxw47+lkjQqMnN24lXyzWIWCtbfC4JqkgRxNE/AWXDizOzPwwtf1PwczVW
hImMhm377ZuUUTqMZW1hqpMAbNalLWnEJ+uYlPj7RHkHnhqiKBJpf9YCT134NkClxgzB241tbpXm
Jia3aU/IdbvpUvJ7WQDiHGhF7Gqq2YrgF6pL2m7txWdhQkYJDAxQCBoni/HzrnP1bhYr8Fo9fpFY
z9ymdFTrHBvjA46tch+mLQmGgf0xIzYE2RVDPUS2mEQydNhFBKGsZTD6e6UnlKjGbk+cwNNso8yk
iTjW/6Y7YSfuuNxkMqEIviKfJ1uqwkF0WViG7z/K324bUM0g8DAThr75ptSsvAXjR8m2Ec5ddJPm
jDEF7Qv+AfJ/UHcmy3Er2Zb9lbQaF26hdQCDmiCAaBhsgn0zgYmSiL5z9Pj6Woi8L59EZV5ZWlmV
vTfLmxTJYITD/fg5e6/dEUJRV5yBXHITV3+nbU432+KDLkf4hGOv50Ep5Hhhz/SIzns9cY6MRuek
pmfa1pbfdfrrebRp1pqL5qfA7cW4+xqs9u/mzb8WsA77K8UrihNVR87+83kuI5MRLBaIHeYUuP3T
SBC8vT4SZjwcI+kWAKyX4tVEz+0b9pD95sw0f91/0RKjvEPzgtAGfN7Pv991pswdpxLUac4UrdLl
dNIy+v1OTifcaFzzqaytYpMYcXboNZ6RzOSEnBT62IC0uTdmZeP32Lv9CDPCjrOLiRIB0j6Y3zdV
6wEWVS9KS/P1PH+gtaEp9PnCKYXhEcsXq16nARZN9pSm5E6Fu+PDC6Gdi4XkVsK5AGpv+bXqXsph
RaJizCa1kl2liGDKRC5Dj1xRv5ttmu9KB4FNZjNu/M1y+7XqIhQDPx50b5NTWazv4g/18MCsrkzH
uNrhP6ctxICgMNeRsMZEiPATJVg6In1hCh4gykMVTqgYwuSJ4QEJ5usYZlEhd9bSNTac1rf5ur81
4gETX8JcvH4tmej70cwswlaLeffXr/7Xfc/RBRUFz73KNfXzHYmYHtxINF52imPutJD54rpVZDPt
yHM3Kicq4a9/4y/Fs82aoj7lUobMgYP906qKQQ7OMuMmSGu79iAKk+m5Tu7Ps5j2/PH2DIUG9heU
HIhG+nUMOHTAeYxq6gPZkChnIWZZDZa/2zw+H5TnFwcjEF0uJ6BtrV//4cME3JumCr6nXRKjI+gk
r2GmjOjXKWu+vit//Wb8k1+3PuIolQyNy8Qvx05WWy2DyAzYzrpq7eISMg47Usva4e74uxvxWaD/
45UY5e3qrEXRiZCN2NxPazWWA9NGmcS7OI6tSxeXKnuhtAEsQl6SGUakMaMiSUq8bVgQrH1ijeFe
05Ty2qxM+3k0C/eUDmScGf0NVpMpaASsB3MERDbyjPp0V9ojOQPlzh1nAcu5TC5hX7qoVQqmm0tX
btuEH54MAJ6YXd8mtMMPALy0bZW2ja+Qp+KnDrQ+7jAmoXfwCn0zstKNasTDYQrHLR3JJpBRY+4K
sh4u0HIoTFSym3ZW4aAhBwNgicnN1GRyKRolxXebRTfkkuhb8pAGPy8dx+9jvhDryru2qu20selv
Zwq1bZEjh7ZjbmpQ8AbahkCxe2puIoOYU/tlVhgXCFQtdGCZm/qCIFoSZs3kok/lALMRTAxdstDA
79M4e/INkkuwRriQlPu6M2+iGJQmVp726Ahlof2zaG/96Bo7yJ7Wbx4043Ohbuu4nlBi6VyIkeGt
Tu4f17IbNZBuck55FBTO/nzvMXJUI2DdmGxTS6V6od7UTVPuwnpc2YuzGeD14gOsMtN3ZEd0UNpT
19vSTqFqxF9z8uq2iPuJsnJHUs9ZQMGsOKlPXiKD8FKWW4YIJmwh3m3HWJSHuRrNS3f98WnV3YCO
ebBs1CbjJFCSWL0R9LIo9+DAnN80nD4fXsj+eKB4gqlj2GjUT0udnVOzjCZzyMRbdjIGM8Ik9q+f
3s+b5/lX2CgMLRdzn7WCdH98g7mFWTQCIgfBQFr71UD7dZAD14w1ZKTtoFLNCsG2f/1LPxcF/FL2
TgCWdNjXbePTDgVFRqQiXumCwOwChl8gkxcy5CHpkE9mMNIDm9QeKqkSxtZl7W/aWtrn2h7vz1og
6xTw9FPpuPz8R88N4bxpUdlEWdQKc/l0JUkZyznqkFLQcg+12zk7drsH2g7ZLjfF8PjXb8FZAffT
Nra+BlrkOneZFRL86QrKYyNtXSqAG0Wm+MPctPvCJDxnwSG0eHJIXMK11PYLpsTwmjfSvK4mVKdl
pzv3CqwsgqxsuWlHM932xeK8qC1JzGXTUt3F9bbIYnk3znN7sIgqBNsY25dNY4pLux6bJz1CleCB
/Scj2+1O+PoIBB6U/DfFl6XzPv70N1LA0jIVBkgsmm2fxZRz0gmz4Qjd9jxVl6Mhp61aR9rGHarh
4vxHuH2cn1TC+C7bmC8weAwhDauLD44z3SyUYL5BL2JjxGG0d4lb8+0qxeqHnuuAU/4D0He7VwaB
hMwZFj+JjNtML4yglmviLXFT+7wRpFtaYFPEBLDNstpAscDxWOR9Q7nvFhQ+MAqxOynbotYXX4aW
FxFis81k015PfOe2FgMSizi6Iw9D2QhSSAk+qp8WmRpsQv2FNUL7BRlJMHQTD1d6YncvCulVf71k
jF9OWt5OmvBoKm1awcbnu1btumGycG8iMkvSO+kVCXt/uCQI7h5+JuSl3tS2S6cRMizIZtPpeG1S
q3b2cErg/CV0rzLmy5vc5TFLyyE+Au9TvzQkYTNedpcjP0WAMK56JsJmuaeR1JNChS0T2v/XBfTD
kVse/MMOyZ7Vtea20fFMkzshN0RUPRFy0m8B2T4UNKT9jPSx3+wbn9lq8F817tw8sdB0eYDPqKAf
SpuUaGFBO8XaagOHt4NH4U2fRoZgvPCQExT7T185RJWPsCQMpVAQ4jQxvvTO2c8mITdpHEKEyavi
MYlWeUfCY5ct0CiJ/AUYpo81CxMqjC8Rx/mqZI2QYpxutMQhG1F1oFTLfjfNsYaWwLwfB+PFVKDp
z659D1HxG3cdCALMp45Fp9j7CNHGFdYp59RRTwZxDsfXHXKu42VcQ/Waup2gN7AzGfltGUyy0Ad+
JewO4zc9nH+2dphcmDS92Xd+KQqJvYyZUbJ2htz6wG3gnNZnRfZgEUYtGn7Txj0Tkj49+YZloFCj
k6u7tvupQC56elVq37HDIqfyU+bQLwjL4mO9lBr8pGLaGmqYXseii4+6I9nwJOWXNvKmT0NDBe+M
4YZp4vPghpdjJK7CxWq3GiqfSVzMGK39hhBj/gWSV/7tpqYm9AlPDTcy5fjQR55myvYPwq2WW71C
zKc1WNQ04HB7ApE0JodTeZm2qgjIKIu2MZL4x3HI5R0D/9DX9Hi4rRNy3U0dnUZmarS4yOEMIoWr
DWIu98BE9rbDHwP4d2bnICbxqhClfSlxV1yNKttyW4PKa9eXw8Q0Xwvx4dGaWVvtwLmmxINDkIdu
p9uqAQ7QdEp6rauVCmatVN+MELIvImbG2XFcKYTbFbSdh0jZNryRXmxrIojpBVGB8kAsv3nQ/slq
YZHQi1n16Osp+fMB2QqRZ0WEKhbc4rqH8P7J2uJwqkgEsy0eiL/e2n79fUwVUaRTYnFRtz7f0gX0
QqmALNvmBeTNoeZpWIOdDmiOnH28WM1vngbt18KSa5vF36Zx4WWY566v6IedxEHe1uhRRFw8qo8g
WWl0Gj6dy6RgEFXC3ztOrpkEUStg3fVyL1u2C5E1RlBBKtnYY8koYLTDzcTNeeP2HFTqwEetVqZE
lKB1u7rhT0lEJe+Klu3aKtfDnRh0Tp4kP1ll9WVet5GotIjRXJNCCIz7gn6RLDCBKjStEsWP6E0+
wHRrD4sgDXiIsy1Tho+GsCJ/Ga2PzM6/6DGvXVG7aUsg2nKkr6UHWk/eqlvJh3ZhrWsKO//5aK0z
Si3pRPELijIjIJl5udUQ+aIR4WmCte7sYpbgsYpz9Th2ZrerxHqaFkT/RDV1CdAYjtqix8a5Pquz
zv4hi35+Lxf2t2xgnS8NSzyTst2jLObsydh226xunpIkU7a8b0aQS15QTeAkqeKc9a4SMwWYm+nP
r+asdyLilK20FW7zFcoQv9dhPBDcNBOsy09IY709mAl4f0nNgzpspB7opoU3cWoPcac6V1rDAL+H
NXFwu8gh/ZEntIz5J9ieFb8M3Q6OEeJvNN8ATqJWXicaKqISdjjnAn+mAvz9elCWxa8HDa7YXIkd
HiX3oBcJ710OYS1fxKMgxKVAr0vonKkfeDqHSzw1JOyMPDWRBbcOXB4lS0IZfX7cXcLpcUOAlIXx
W/u1S6UTw1ohccbouLTzcZyfrv9vvs//iiQxBCbrDeKHbeYXVIH/D0cnurgfXZzaP775T5KY/gcz
bv5fjkfumefO+fi97f73/7BBDyC7cOgc0nNAfcEN7E9gga7+wVe4nwoeqHWGymv5j+QP9Q+Dmhc/
I5fWM+jg3yGJuZ+q6PV+YJi64CaomXjc1E83BfRkdAlLzWQilnz0tri2pbWrhfuQhjWs1FQL8pmG
y6CED0mkY6ARrzaI4959i1cCraZExzBenrJe7GiTbzWU9Cn5NxJps8VWBag7HK6Q0zw1urEjfHZb
E8aYLnKv1psqDgMzr4/wy0XvbMXI9zLizFO5N4kKyYRxK6R1bQlC1hrz1gw1mizeOjOfong7E0nv
5M09WOT7ZUKlIQzMctUmI6I8796X/H6O2O4IRbQmgV51vLJr59BHxSUtjevSnJ5qg4t4V54Ymwf1
jGkNnW6K8WPWwwfyNhzfCc2HVkR7OaY3RWjSv4/JxGgtuV/CcfDSKL/tIgI6a5gviTW8ddJFZCRf
UpO3LFJNxNTi0ChZgBrgq9IZflMXl2uK9A8r7/T3yudH9MPnEdrfP0RwcFyDWGdMhH4+b2aK5DZW
QZLkTbOGFp4bZXBrbqx5vrFJIuN+kW2yxQ4U9GgDn8xfv4DPpTOFH2YvOqSCbgLgi89dQRxPTgWX
hgiIEvRMnVyCQtqS/a55A7T3IIt1uDmZ2PXhckqb5Yk4euPS0izY04Khsu19n41ObhchBTJiI9na
WlgEBMFdTpARSC3ONgJi2kFdeewMNrlz5YUPHh7GbkY0MLkXeTAyt0M1LLyqCi2o88axgdlKNROq
Qd/qX+cxnL1xWm7B9e6WlrOLZ+/ZaPQjSXRXTtofyddqLiqYZcd/f4/8lyjFn4zv//Jf/dfdJmn3
/68zNhLUwS/b5GbNRUqiLzL+J3sk3/nnHin+wDIIhgPrMIXaman45x6Jax2uwir2WyU1P4YjsUXi
P2IfNB22Q25s/9giDfUPEpGwIQraAhqTGfHvbJHa2qX64bphrvNZF3WEy6vAoftZNdLHwgbql847
ALfNIxHM9ktja9GVo4dkpqUkub12ivq+RgF8d6RRvo19O+ObiuM+MNuxCuyBkELbUtwXqQ3VxVDU
ka85Sf7NIgXn+d9fav83YM+fVuN/JwwD6kEGEmTEcDqqum6sOoJ/vS4vv3wjs+vHNcl5/+sP+Pvy
dDhyOYoNQdTBKhX8TxKDrf/BwBieJyon/seK7fgPFqj9B1dADlQ6KVwAaIH+5/LU/+DVQQJVWbcG
Y23731mejvXz+vwHC/S8Kf9wyzDzrso0Igf3+WgXW2CQLsdXjUBzgzwe24ThlsvRVkpn1xuyvVA7
y76odCfuvUF06fVYL2R1gAmxCt9mm32C1tIjinPmpzotAPbRWcDcJVHskO9Kqs1dUaftrZ2p5kRr
qAAGbdjkU8EhiSK6RdSxpLFz8648aHfwsAZE7vVhqCrziiwa4yKftPHLEM7lex1ndMqAHte7qihl
sYq9oLTnQyvUPWMR8SbnDDWLUbnTvJvVjrhtPc+H5tBWSqhsGiCeqd/XGpFTqSOS26m2LXTKi2zo
nvfFPaGMExcqogA3GHfFqz5nxWmatBmW4KCD3pPpkudbfW5iwUAvVl8bdMU4wA1FkkaWdfbdVCZD
5WFQG76mljJduGlhXmjEc95Zq5RtJePfA9zvn9FQWieocsUdkdtip3Smu6eqWXYD4O0gVIQdXg7U
MISccNU0IjH5OqWOsx3o7ENq0vv4K1NkPkcFtqob5LoYaCNl43KsFWF8jOEw3asYqL4n0OTwlUQ1
gbl6Zt64hE5rQdym3PsKM40ebTMfMIDh4DnFtatez2k6jR5y7MXy4D8MuywnXYq6BVsJd3zlqXET
cAlitNVHB98DhAjRzFmQwBE/OSQxv6dMfnYYzBo6Ul0WeZMatSdiIok/qOqysIOiDl0y1LLuMoXr
2niNIcu9Tb4MN6iCaB8P91f3BrYB7h+RZe33CBbHg4Xvl1Apsws1j9QgBxxE71xVtUT/GVVlnvud
a+q7DE+Ye2O5fd4E3ZySOWetQy+QAribr0ZcEQlG26Yyg3QoFWPLjdP+zh0wNH3Sx7j61mlZL8Ha
1dM2iluA0OssWb+Bn49fVL1GXV0kU3lTMJQme7UuZrLZx7wY91Zpw1rljYXhlcA05/0bsEpsDH4R
oU7WHN9ZWtxI3n0RvRStEX4kaW3PFzLXw+8ErXV7J2167WudDwBhYym0YWcUIUJifleH5UIaMaFv
ua5d9m5chiCgcucQj2P7lQjsKVBk3Ze+mhT8d6u3yqWmJFUG/YnK26yWJT11MSQtz5xCstjGuXhs
usj8NnP/f50irMtY9EJ4XGVS4EwiBW2bqkpmko9Zjoc6JoMWPBgTFHT90IrXEPnc2ahV1tEhcaN+
O7uriTteZue7O0ih+1nraoFjEzjtoRS0b9UetsZA7xqJYNFP9wzS2ndXWu1zCiTz2pyWZWv1bVf5
JJ8gh2F+P9wqitk+j9KyPGmN5IeBB6VnCGk5mJy0JtFmCAd0Oy7oL8is67CtzHkvwG/iYgPF+zwX
bXYstcyKA6Y8rUFOqlkdyi6aCNQLjcWzWJWEo5OQEnuxBYtrSG0RiLYavroLSldCJHobKT6R11d5
ls93wl1iZ1uBaw2D3JonrIqKtdPqXD1gWRsxTfMxvuLKXb51ShuJQO/U+UqlA3vV23F05dLfjT2C
Fey7saiT+2FQCIvNB6Ed1BHJnNmG8i5xRmIjIl2QQET30I+qvnypqtgOhmWMty0YmIeuZ8vBgwDI
JM0IVFntTgmSUZWQ3sV00jcw/dVNmsMYbVc/OJEK06EP5fKtnw3Si2daedouyyoDLNcw89n3WR2D
mRij+rWu6uyVokUfL1wm7ZAKJlt67OHdI58O4nd1jrQbg9w5hPZdM18o1jTisHdaw91VDi3RMFH6
bKMC861Zq2n1Tk6HeOjMnkXYAORA0Tk26ZtWmZh9GyABXtPICp5sb3agVciGiTcVemOSam2SLHZ6
rdZPkFTT7E53KrxbMFPZdLg1kfcLFU0/xukM2HHg7V8CO1lt4aKehwmHxmiYB6nOrcFwtpZX0ZKE
iTeW7owtLsLOKxv8xVMcxR8xDGG/btXkIdIlYE963xw3dp45u7QJ03hDVKMdhLNWYzEq7WRvlirZ
CErVTBfm0EyxZ8xhftGPA2Axa4ADtsmrrrpWUx01mRYREkRjbjqNdcOIT5mVbDegwjtosF7J8e5z
k+hzzZq2DYi5S0NqZKjoFRBptTZiVN83sp/wlMZA2EEmtMNyiTO2DvqCwFxPbUw1g5lTpO92k5WB
mhvHcYJC4ZFKyHcR5tHc1pWNXDknHxC2vQoic+6s2GsZqsC1JirGjzobtGyLpe25wM2Jz65r97aA
4E+OifBmLX8FCOweO7FefzNUS15cuvlFbNC753GB4uEnLSglj22nZB+ylJ3U7hBT3+paRcCfOizf
ck4DDuqke8jL3DkiZ1pzVUJnY5Ztd1cCUPgwOXx2RtQZgPDFF1uOwl96l2TL0Yj2ete2j8ZkGXsn
s2we3Tynqe1o5vcmcUMoNPngnnqM/tsMvsu0ITOivtBC0rbEnPRc9rSlAauUEOBD5gCUNKMhuI+o
ed8dQvIXLTbyIB3LBtcoeIZ5YxJv0nudAOa9YTqpYVqe3RTxUZMdlqSt7vTUzC8mlhrsui49Lm5i
Hvu4dxqEDn374rLO/NYqna9Mw/SSpAWzuTGL3LkjK8fep13HLMKswTvpk6J/c1kw4NS18rZJ3cxr
cHyZQZFF5l61uvpRLbmSjj0ff+U28UsRZ3bhYfBc6D6KSPU0O7Wvy8wVX7Wko1sh3bHaQFmo15aD
hVC0IcFab9uvU6TVJxQnE/jxdHZw66XRdWu1dmBUdoyKRk2QtOe10VFz6fZbsRjpvKnoZD4KMzGl
Z41F9D2Mm5iGh2Jcpn1tF5u84Cn0xrrTOECrvn8FkmhzrWmYFqMUVNkAwujVVolxBxU7YK8QsfKW
oQtJCHhN6bS4qdjFTm3f0EgwLoiiyT54vfKEGH9+d5ceo9NSzy3lWSLJwBqk0z2481g0XtqOMLgN
CLTQM+hn3DqRdLb2bI1PC+Phrd2UxRckHpQadZuNkde1IZGKuLmhu+qNEe34qMZLDeQru0MSyttE
GqKhfBEZatIlZ6fSQcjnQd3HMiHJUumrXd8RdHqoZadGvuNOIt/mWqxdt3VtPuv2CKZRh40/bxMc
QZo30fVGnq9L55hE9lJs0Ke2nT+MLonUDhNnY9PrjXA34TzK1xGCe4oXl2b4Jlny8IoMLAOyNWkQ
B1aIu2wqPem+RDjBdQ8rqHaXDTbvf+v0Jjq5Iu33+lTkT6YZN3d1k0P6lNyH7tLZdP1BG6KNAjnk
mLSWc6OtNO/kDPZmFQBi4tzFCmjrBEh72coBJxIxiZlRUBJ4o2zjMoiSFUCtnRHizhknPg6QxSGq
AxmHuwVwPD/Dx6sziFw/Q8n5FKJoM7mVvROIm+/yXK8bfzmDzOEsmx9pobiWX7qK9uiuzPNkpZ87
ZxB6dYai09UHkO5ORK15Td+gAM/TFLx228UE5sJV10nVvetW1vp8xq5TYy64Gp0kWGyI7GcChCTe
5xJOjSO28xnejk1dD9wYUa5zhruLM+d9hPiunuHvVL0AxuUZCj/VKyCecE7lI0f2QI3WywM5OIAA
lqGpSBgvp0DaBo+JuVLnWdm9FjQri95wG7D06QAYIhxWE3KtT6dKzesZU9MKs1fPYHtWFRHhK+0+
hNx+MDII+NkZho98cQXjDzpUB2mswHybHxk9MizgNWkrU78ebfD6jRvmHxW5SXfSyPFP52oGMjps
el9JmYbaPaYLKbHwdQYUFhGSDboJVSpAb44wUkclUKR+AV0SnuH/1poDEK+JANk5HGBacwJwMZIY
cA4PwHxCc4zmsPKANoyf4qxJA9E5dEA/BxB0axYBzBT5dT4HFCymhpZBHevIM/TEPTphVaIRUTMM
TggVd6rS9puhYTSJFW4KIom0ROhkHQAxsZeDiU8elLbdB+ACB6+f254hd2demIauvlAHMOTO3BLN
FpwPHpq88nAtLqQ+MwnZpHZEFmia9XeV2dP3LAwCdoCmkLZSNmpya6tLHmjgwuFmYwQ5qoVOOWVl
YaCL8J061d2pPJNB1XfEarlu9AYqtnufcS+AqUigJ0Sznr1FbWXfRovWTh63g/RiBN66W0Dpb8h/
mx6mKTzNcae9aqSA3hKGx3Opr8LNUFjTBdTOcW/WeXQUos5430Vy4cS5S2iAnVi7KlP15wa8CHtU
UkGiSJTC2MaqSmAZSskaXH+UUs1mifpuscXsE8rSIOPBaa8IIV0dZAaXY6y61K5AUjpgbkt+qHAh
J55aJNVDhdRlSwknTkJM5r2JEe9A/oFyqlrLCEZGwLMXpWJ4aBRw+R47r35AxeUE9jTEDyQehK8x
xFW2NoT1bI8R4V+ARFxs6KVaXJcIQi+MMBangckDSF3HmRPPAFpwZSlGv4+T2LhOMJQ7+LDT9Ebm
TUSCm4qgIlZ7+xAWEUyksE+7+1nPk8c+74cTqUQWDqtQO2nQCb43bdxupZuGhSf0OVY8ZTS1Z72r
qOq1LD0AeEqvEI53kA8GehlFR1hC0vd6BymmSA/5CgHrCYjYhU5TINZTpoNei5rwRHM6Kjl/bGbz
Q7xQKRtKViCygUWu4rPkqIMuPhLNtnoqiRrs8vtQz52HLsb078092YgwjkagTxme8djQp6sK8OU6
whvpvpt2XD5ohZZuhTlgKTX1D5vLIKdyk6HqnXqlu5zNyWakYspgyDKnvCM+enwSHMp8lktTOdt+
qLpvGblVm//J5Tyvw9LI98ZsUdHkcpp8VaTobJY5tm4WjpSeNPQUVsX/k1bjf6sm4jrIcJj+rVho
w2Ju91dNRP/LN/nl71TXL7S4/7b/MnzPk7+Be/3bvxwPriKZX37Fn11w4w/GjjpRyqZl0XT+IXNo
nRSin7Rswzb+7I//MClcbZYEFdH1XKeI/+gzMkSkXS34efw56490/p0+4y+qhr9PmXQWNaRKXMPu
2of8od/IdWlMIwH0KRwfmVdfuQ/aFnELqnxA3eEGDRMDQLW9Mx5LSBrkB6SPbZNsk+I5nDo/oW/n
IGxVs+KNit7PYhw88KmULcmju4GiImyLQ+y8zxPdmzpKARk99+MbpVCg0MNDRHZv1ApV8XwDZQAB
1kXtfMhpk++JtR/06+hbTARzaV3ODInKEfB1vwnFB80qhGk6sBYG+eJgpQQiu6p2zfboz6OyyeN5
V6ylIGlAmwllDdcbHh+5TbUuWivj6yl+oyijwh/fQew9tp16WzQLKXqcgp5lzHXQ2ug1yq9dfiOc
gR0G4hoXJ4RG7J45NbFk7mTrJy1N76N8ORiG3KqzvlfM4iJTRb7BlYihHAlOXd/AvuF+QOQKknp6
HOqJQHN4UCmHolF9t3qz3JSN+aqmyo6PKQDfE1RuRB8EtnULet2cN7KDyCMk4TDtlZF0pw6XKs2R
r5ktTlPFa0W7aWFS0p+mZH6sFJw/hRtEJu6qlLY1LkluH4I2EBSm5BSBuvMat4Ws5iTXTTtiNvmN
oot72qcZy/pQqOzHtsac3Kaf/vPayga1nZKKsLZpKR5lB1zGNNsTiTZ7dtIAnnHj57a46LJyl9c3
pAHuoJIdu8Lp/Vk1Bq9ooeuHyCdEku8zRd0m/biVgNa8PjROxFNsp8m6N0xSgtKUIspIjk15VHtz
J+vyqM0Mrp2Ag8urk+XWyuM9KIRAau51x0dYz8mHKa07K3slcAsaoLWB37GN0mwbafGGupU8FMNH
n4+51PZ1goyJlNmjOj5JS24HwzzNWHCEGV1N81riEnAedw9pjTZHE7sFRrr2JuhApkt/0YjlWq3o
OylV1Hi2TQvCZVVmc7mtBwar5ZXdkOYcclUrnPeim/d5Ds5pbCOeJSajWb9cLjADHCf8MtfWtoJv
VPADPaaeHDLafMF28azr0XVaPuhSXkl47K02PpTT25Ja07HWZwLRS81+bUIDpHycvyiIYuJa24mU
JTIKc6sJd0+n95uKZd0bivkmmvvQo9KzfJd68NiMTAXE8vbD7vpP5tyfjWvnrROOsqE660iQceHP
q2SpVCcjaD0MRJV9j5T+GWjPLpTaW8M9axnkhWbLuybMrpd+uIlADKUAfZPE9LSsbbaEfl5mFqaE
tK0PECZu4IOwd3V3reOWftxlpzQeEP2Wv1ndjIg+rW50H/QwMSRb/AmrFu3n191ySWM6AkmisaXt
pboBeZ4XbJFX3i9Eb5J7EOYxHRn2xToSe8K4CBDX+i+6vZ1orDQx7UBboYuPp2tZxU2s2UgPuCfu
7R4NoS5ygC6wKUK6zPl0StL+vuamtRjkfEr9W2RN9wUGGjgPnV/FkvtxwlRHiq6i8+qwNQ76h0p7
Y8VtKgREcoNOl5oo93q8i4fhNDr9sRYh4WGivIoHxEdCuG+NvWiekQ0PqMtuhtwkb86qP0pQV4Fl
1A9jp3yA4cw3TiI+yCa9b0X6AnplJ4eWeFvto6YjFE9YXkteQdQcJAAQSMubLraexkLbIb6EfSzf
x1gB2YulpBgDOOKROm7UAdNlZj2XNXdk8pBh6Qao664gt55aCmT4Cjo+GXevaCVJGH3/jLLjscFU
T6fmZcmaxyiZbnoyy/2BTj+jsL2REvQDBxaUzj1BR3s1WhBspV9Dtb7PYxjduuFzUWF2ZPkidU7Q
+g4E051GE7No7twXms59pRA4+tzA1ZDYRxZBPeqWj/5S1RAoYIARU/JMG3pPbzDobMLB6CVXl124
BO1sbTs33+Q24X3wD5f7VdGSJcAZ+6NLfkNahs+St3CHKTNhNoGHlWRsghWCeL3TS6P7yGIuEZ04
9eTbNzJ9bYql89w2xUCi5+pmMYiOp+vfPaeFfVtFBkQsFCOlZBjj1sOJtLOvTW4OQLI/Eqc4hIr7
bNI1DZXqG/KLbd0v5aquuMRIzncM1alrsr2OqTCt6vtiFHdZlB5NfR59Uo+9ZrFmcsk1vr/zoSCh
Vx39MGpLTqaXVB/3ZBDtixVdCzQN0GJXPBpx+RK11uUkjae8c5iWiBdraR6mogeAl/aHJrQ/Ft04
hozlg7HthZdrEeGGgjxkAOS+jJwciNxySXash17uBoib3NlS/WK23Ovwqt5VxvwFbBUuyb57oaca
exoZn9hd55M0u8dhcS4Gu6bzq9J+zw6Zbj0JWyO+C/yOHqcPWiugCfRHdZqAdyykPJe5D0lpr4yT
P6nqqRCRn1nhU9GNniNBk5nuneiVqyh7JTXYI3x744bxdTskt0ZB/jOrnVHox5LocBfmzTS599Ns
POsNRuuOFGytuQuV9yFzPnAvvE1M8CJ92mq9+zU1dT8p7IHEYusudL/jfsVjHJjKtXSua+3aMm7K
/i4dkpNUCr83ak8Yd8Osw6twHqF4ruzYTQU7txQ4CGsmk+n3LJkR1nD/aV9s92GkmZxMpmfkH8wK
fU1/7aN7OyKRHfCaY94qkMaidryrep3lolyl6h2hsuvk6FINc8+eoUVwRiWCjr29he4XZElG3hbW
N3GjjV9dCy+1bbx0PZDTmec6018c91RMI3yOWzUiYYm98plEmGzTJ5YfJe8j/MCi/5jSagPE/H0y
jHzrDu27Uot9IqN9lmjfhjHtNgzWuNpVrj9jRWCcMvoMfL3OrZxDSofVIzkdR3hUPGFCjYJJn81v
itSZSCqYeZngb8dqOVqyfIijxvaXVHtws//D3Bk1t2kEcfyr+KlPNSMQCJjOZKZyPHac2HUTddI+
eS4SFcgSUhDYgz99fgeHBBJSFZ9nyr1Zkpe7ZW93b/e/e+f/LPP86/LxZURXuPuXh9QFUUzOuB+T
kyDESHn03Isv3QGHrqfneEwfzivvxb0mdySTjclFz8OdmoYkzOzv02HCrW7PoLIXXG2eUsGamfSJ
eX4wL7hUl8sS3W+Lp6cb/zkMvDwb+TFZiu8z63o2y6fvl9xMNvQfFo+XD6684BaQ7+yJ+DtJsJVJ
XPzF/rRc9f/lCpCLmXk1TQc3Nvhqc5ncPj7Ts9W0b8Pvzl2ep1ceGCiaJoNUT+w8JGHknL8n388l
dE5C6aDtp5fzx/N8+Gv4wknXzXDTVo5//2jN6IPsZaOot/g7kUU/i2XIXWHrh8/90LyBNxFd9/Kn
obUCeLV03fTCjbNs2Dv3eMhi8OWtjqMa2CkFg5W4pktu+ErzP7MgyT8H64wS7jrq6X4Zxelo+bof
HSekrsga5SuuyBKTRRSTb0mTaJzW8SsmAE6q0WWNXQP2UkysmPUxOnPB4rIJDwA8ZRJJA9xPHxg5
IDhfxlP1tetz94gsuwATVQxwLTyvxqdDnDi+yJKlx39zbAFB8XY+TFiAL68L0OKB5XCLCs1AKIDs
FYMwQI0HHl9zLwsn6/JBHVq8bGq0C3z6WQkwbTB3PdsC6ta2eq5GplDMhzeAkOXA2+2WBNDJTZcH
1sCgVZCED1Zy3pAAbuDxuC2Ou2X+Zx5gP+JUKqQp/aYa6kAesU/ZBDsUtorAAqbmUCENYl2NBgtQ
BCDtLGJPpZDInmLdEgNmbutqQ+QARCFA+2qVO5qgZzhUoEo2lTzq3F4w6YR1miDsWJatIJgON0c5
DjsBtG0xdgXBHzgETCl2Kkb3eEB6yyxiSqdsiIN8sFwDCDI6gRtUioH2r1kFH73YI0CLaSgHVV/d
2hCVi6CtHE0D94BGgsTdirGzKSzizibqsdc580jHLS4lJ/yiJQhsCKn6cDRajYNrGz0HwAG11KUg
dE4zSjbQJEGTDRgIug4PCNi2ioFrsl0Ie9EXqav7oU+nN10m+AaFBhR68pJrygAniQZbuOM2je3k
6JwykJmmE12EwxpxYFAqjwU0lQQ0NaLbN1ASRPYJdhWjcxvBpFhJVxv0zdJFoFKvfNVNbei6BiUJ
tIKk0K8YnZOEyizo+gkWd0/iKcl+vuXrbp4cOTU5A4osLEAUxaBgp1v2kakNShEtb9GTp/6fPjyZ
Br4GDoLsJlRXCJ5BIZFsUlda306dGW1Z0aJnEnuGzVVsFLtDqb7sAcumg5pNGVYxOucS4Br2XBoR
aDIA4Zd3j4Owbb53eVIE2mL5dGAuRve8Y1mdpL96GnKYHBOUktvRgZ5h0Q2bsmVlCDrHBGqfLV0R
MH2DTpg9WahYyvoOE+T5gDZFADzK0T1rWG6FNxAGUC6yEg+LUtMFvmnIVvMYQmUou8gAEDh7lYM/
awMsAmgEH2QhonrVTT7gFhFdRFlQ7lqMrhlCdKLkg7ZDgMUnimYCWtostCkPFv19Pc4Im6+75RAo
PugqBoJIHIMkZkGpv519YRuUPJuuq3Rnr3MeAm3kVJT39Y4RaDSHClubppibt10TBg8mWLSfZ8uU
yrNzyoETvWwor+UmkVzxWKaPHmyoBNcxCKDZ7JOt69ytrQDmRnmuGiJAAA2MF0DFVr3o4SK7uGKk
VUoR6OJJyetTqqwrBqZrsNcHYIGaziIxdWBNMrCmfAS+7pgYyHCO5ibAVfYcDAOxkVZN4Bo+PR+I
tG6l5FQmnHCq2mRtL0I6LBT52ihYt6V1D/2gSlLuf68SlDILKSGOjR/K9G357DJVKf9+14isFEnU
2pdVUrV4jvp3tcD9RzeeVa2q+vA6ChKRjMO8+CJX07wTC/K9oJVDUMz3iZgE67CRQipSB9sJ7SWf
N6rwKP31WizqZMvsnC7ZYRSKpE62TPvqkr0WSS5iUScMEFpGCbUpRwsxDsW8ldNlGEr3ETdiscjO
fhGL1W9nH8U6BE5SzbsQSQfzUn3QiiY46YV+FElMYOSxyaQy76y7go/I6XyHcBGc0CX8SXALg5g8
B8Gq4kDBEtmao/rg9Sy5FZMwb99D5eFad/p/TCKmX01Uzly5ZLqE77NJNg6DJMkbxAd92WNKn3g8
E98qOsWsSx9Kl/BnMROU/YlGxlsFtHVpf4loGthQWMr10SU8EotofnYnJlmdIyrmqEv8rzSlAKVF
iaskuC79r3SsOxsG8VTMG7Mv3QFd6rcCZY7CSpOGjKugjC71q2wG9QZYapMA06a9bMx4k1/UpYtV
3jQYvIvGy2+83Q/rOc201nX+A8OheeAbKPXfkyw+bJ42+XPdZd1GL8uk6Q5s46+6xEcJlfdNCVLE
OVDrEm+v9aroFrZERs8IdVSfvd6c3FFNJl91RUlRlyGZN3BEbkUs+dRC/A3YdBtM8XFE3tgV23CS
9lsI5mG0P3ObHJ426c1+O9zQs8AYvv69/mczPG36oUjTaL3Xbk9BQ9/g/RZ2hs5pu9K5BZ/qvocb
TMFB+gTOdOmPArbWdNfHJzynDva69E/tLKf5rtv10WtqT49OpO28uUH77p9CKxRv2781j9jyF+N5
IJJ3PwAAAP//</cx:binary>
              </cx:geoCache>
            </cx:geography>
          </cx:layoutPr>
        </cx:series>
      </cx:plotAreaRegion>
    </cx:plotArea>
    <cx:legend pos="r" align="min" overlay="0">
      <cx:spPr>
        <a:effectLst>
          <a:outerShdw blurRad="63500" dist="12700" dir="5400000" algn="ctr" rotWithShape="0">
            <a:schemeClr val="accent1">
              <a:lumMod val="60000"/>
              <a:lumOff val="40000"/>
              <a:alpha val="43000"/>
            </a:schemeClr>
          </a:outerShdw>
        </a:effectLst>
      </cx:sp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chart" Target="../charts/chart16.xml"/><Relationship Id="rId3" Type="http://schemas.openxmlformats.org/officeDocument/2006/relationships/image" Target="../media/image3.png"/><Relationship Id="rId7" Type="http://schemas.openxmlformats.org/officeDocument/2006/relationships/chart" Target="../charts/chart11.xml"/><Relationship Id="rId12" Type="http://schemas.microsoft.com/office/2014/relationships/chartEx" Target="../charts/chartEx2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15.xml"/><Relationship Id="rId5" Type="http://schemas.openxmlformats.org/officeDocument/2006/relationships/image" Target="../media/image5.png"/><Relationship Id="rId10" Type="http://schemas.openxmlformats.org/officeDocument/2006/relationships/chart" Target="../charts/chart14.xml"/><Relationship Id="rId4" Type="http://schemas.openxmlformats.org/officeDocument/2006/relationships/image" Target="../media/image4.png"/><Relationship Id="rId9" Type="http://schemas.openxmlformats.org/officeDocument/2006/relationships/chart" Target="../charts/chart13.xml"/><Relationship Id="rId1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2</xdr:row>
      <xdr:rowOff>91440</xdr:rowOff>
    </xdr:from>
    <xdr:to>
      <xdr:col>8</xdr:col>
      <xdr:colOff>297180</xdr:colOff>
      <xdr:row>16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8B85AE-D052-91FA-6DC1-87BC95170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381000</xdr:colOff>
      <xdr:row>19</xdr:row>
      <xdr:rowOff>91440</xdr:rowOff>
    </xdr:from>
    <xdr:to>
      <xdr:col>9</xdr:col>
      <xdr:colOff>297180</xdr:colOff>
      <xdr:row>33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A68045-0972-486C-9518-0A283C442F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2</xdr:row>
      <xdr:rowOff>38100</xdr:rowOff>
    </xdr:from>
    <xdr:to>
      <xdr:col>7</xdr:col>
      <xdr:colOff>510540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9185A5-A58A-68F4-AA0E-4A383CE94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129540</xdr:colOff>
      <xdr:row>2</xdr:row>
      <xdr:rowOff>83820</xdr:rowOff>
    </xdr:from>
    <xdr:to>
      <xdr:col>8</xdr:col>
      <xdr:colOff>365760</xdr:colOff>
      <xdr:row>12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A74832-475D-4414-2DFB-8A786D66C0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598170</xdr:colOff>
      <xdr:row>14</xdr:row>
      <xdr:rowOff>121920</xdr:rowOff>
    </xdr:from>
    <xdr:to>
      <xdr:col>6</xdr:col>
      <xdr:colOff>373380</xdr:colOff>
      <xdr:row>23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3084B4-2FB8-A8AF-7BFD-10EBED77B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316230</xdr:colOff>
      <xdr:row>0</xdr:row>
      <xdr:rowOff>68580</xdr:rowOff>
    </xdr:from>
    <xdr:to>
      <xdr:col>7</xdr:col>
      <xdr:colOff>548640</xdr:colOff>
      <xdr:row>11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6AA05E-EBF1-F6CD-115F-84EF7A29F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15240</xdr:rowOff>
    </xdr:from>
    <xdr:to>
      <xdr:col>3</xdr:col>
      <xdr:colOff>327660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7338DF-DD08-E4C2-7D87-01CBC0113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175260</xdr:colOff>
      <xdr:row>5</xdr:row>
      <xdr:rowOff>114301</xdr:rowOff>
    </xdr:from>
    <xdr:to>
      <xdr:col>10</xdr:col>
      <xdr:colOff>190500</xdr:colOff>
      <xdr:row>20</xdr:row>
      <xdr:rowOff>152400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4B27CAF-8095-A935-AC23-6F62295579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53940" y="1028701"/>
              <a:ext cx="3063240" cy="27812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96</xdr:row>
      <xdr:rowOff>38100</xdr:rowOff>
    </xdr:from>
    <xdr:to>
      <xdr:col>10</xdr:col>
      <xdr:colOff>213360</xdr:colOff>
      <xdr:row>108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E2F66B-39D8-58E8-8A0D-16075A92D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</xdr:colOff>
      <xdr:row>26</xdr:row>
      <xdr:rowOff>175260</xdr:rowOff>
    </xdr:from>
    <xdr:to>
      <xdr:col>6</xdr:col>
      <xdr:colOff>495300</xdr:colOff>
      <xdr:row>46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77FD23-792E-C6F0-D5CD-5082BC952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188258</xdr:colOff>
      <xdr:row>47</xdr:row>
      <xdr:rowOff>91440</xdr:rowOff>
    </xdr:from>
    <xdr:to>
      <xdr:col>9</xdr:col>
      <xdr:colOff>484094</xdr:colOff>
      <xdr:row>63</xdr:row>
      <xdr:rowOff>143436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7AE7EB-4437-15EF-D67E-1169A5398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21</xdr:col>
      <xdr:colOff>368300</xdr:colOff>
      <xdr:row>46</xdr:row>
      <xdr:rowOff>50800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6D58D5D-80EB-C9EB-3A30-538EC70BBD1F}"/>
            </a:ext>
          </a:extLst>
        </xdr:cNvPr>
        <xdr:cNvSpPr/>
      </xdr:nvSpPr>
      <xdr:spPr>
        <a:xfrm>
          <a:off x="0" y="0"/>
          <a:ext cx="13169900" cy="82296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F0000"/>
            </a:solidFill>
            <a:latin typeface="Bahnschrift Light" panose="020B0502040204020203" pitchFamily="34" charset="0"/>
          </a:endParaRPr>
        </a:p>
      </xdr:txBody>
    </xdr:sp>
    <xdr:clientData/>
  </xdr:twoCellAnchor>
  <xdr:twoCellAnchor>
    <xdr:from>
      <xdr:col>0</xdr:col>
      <xdr:colOff>66339</xdr:colOff>
      <xdr:row>0</xdr:row>
      <xdr:rowOff>87086</xdr:rowOff>
    </xdr:from>
    <xdr:to>
      <xdr:col>2</xdr:col>
      <xdr:colOff>413656</xdr:colOff>
      <xdr:row>13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520B8CB-187A-CAEF-7410-47DFD1D3EFF2}"/>
            </a:ext>
          </a:extLst>
        </xdr:cNvPr>
        <xdr:cNvSpPr/>
      </xdr:nvSpPr>
      <xdr:spPr>
        <a:xfrm>
          <a:off x="66339" y="87086"/>
          <a:ext cx="1566517" cy="2376714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471608</xdr:colOff>
      <xdr:row>1</xdr:row>
      <xdr:rowOff>96691</xdr:rowOff>
    </xdr:from>
    <xdr:to>
      <xdr:col>6</xdr:col>
      <xdr:colOff>87086</xdr:colOff>
      <xdr:row>6</xdr:row>
      <xdr:rowOff>114620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6E7A76B-FA27-474D-C3DC-381B1C5370ED}"/>
            </a:ext>
          </a:extLst>
        </xdr:cNvPr>
        <xdr:cNvSpPr/>
      </xdr:nvSpPr>
      <xdr:spPr>
        <a:xfrm>
          <a:off x="1690808" y="281748"/>
          <a:ext cx="2053878" cy="94321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130629</xdr:colOff>
      <xdr:row>1</xdr:row>
      <xdr:rowOff>108857</xdr:rowOff>
    </xdr:from>
    <xdr:to>
      <xdr:col>9</xdr:col>
      <xdr:colOff>500742</xdr:colOff>
      <xdr:row>6</xdr:row>
      <xdr:rowOff>151960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2EB98BD-0B39-4D9E-B37A-E20FEFA87533}"/>
            </a:ext>
          </a:extLst>
        </xdr:cNvPr>
        <xdr:cNvSpPr/>
      </xdr:nvSpPr>
      <xdr:spPr>
        <a:xfrm>
          <a:off x="3788229" y="293914"/>
          <a:ext cx="2198913" cy="968389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latin typeface="Bodoni MT" panose="02070603080606020203" pitchFamily="18" charset="0"/>
          </a:endParaRPr>
        </a:p>
      </xdr:txBody>
    </xdr:sp>
    <xdr:clientData/>
  </xdr:twoCellAnchor>
  <xdr:twoCellAnchor>
    <xdr:from>
      <xdr:col>9</xdr:col>
      <xdr:colOff>544287</xdr:colOff>
      <xdr:row>1</xdr:row>
      <xdr:rowOff>89454</xdr:rowOff>
    </xdr:from>
    <xdr:to>
      <xdr:col>13</xdr:col>
      <xdr:colOff>261257</xdr:colOff>
      <xdr:row>6</xdr:row>
      <xdr:rowOff>139700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8C9911D-744F-4EE8-B9EE-02E34CCA939E}"/>
            </a:ext>
          </a:extLst>
        </xdr:cNvPr>
        <xdr:cNvSpPr/>
      </xdr:nvSpPr>
      <xdr:spPr>
        <a:xfrm>
          <a:off x="6030687" y="267254"/>
          <a:ext cx="2155370" cy="939246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315686</xdr:colOff>
      <xdr:row>1</xdr:row>
      <xdr:rowOff>114236</xdr:rowOff>
    </xdr:from>
    <xdr:to>
      <xdr:col>17</xdr:col>
      <xdr:colOff>217714</xdr:colOff>
      <xdr:row>6</xdr:row>
      <xdr:rowOff>139700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6E3DF454-60C5-4F1B-A3A3-A5E1EDEAE0E1}"/>
            </a:ext>
          </a:extLst>
        </xdr:cNvPr>
        <xdr:cNvSpPr/>
      </xdr:nvSpPr>
      <xdr:spPr>
        <a:xfrm>
          <a:off x="8240486" y="292036"/>
          <a:ext cx="2340428" cy="914464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272142</xdr:colOff>
      <xdr:row>1</xdr:row>
      <xdr:rowOff>99316</xdr:rowOff>
    </xdr:from>
    <xdr:to>
      <xdr:col>21</xdr:col>
      <xdr:colOff>206827</xdr:colOff>
      <xdr:row>6</xdr:row>
      <xdr:rowOff>126999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0FBE3A1A-FE12-4F20-AAF7-35987C74EEBE}"/>
            </a:ext>
          </a:extLst>
        </xdr:cNvPr>
        <xdr:cNvSpPr/>
      </xdr:nvSpPr>
      <xdr:spPr>
        <a:xfrm>
          <a:off x="10635342" y="277116"/>
          <a:ext cx="2373085" cy="916683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</xdr:row>
      <xdr:rowOff>44824</xdr:rowOff>
    </xdr:from>
    <xdr:to>
      <xdr:col>5</xdr:col>
      <xdr:colOff>130628</xdr:colOff>
      <xdr:row>6</xdr:row>
      <xdr:rowOff>53787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9BD285E-BC8C-2231-846E-5CE62FACDFCF}"/>
            </a:ext>
          </a:extLst>
        </xdr:cNvPr>
        <xdr:cNvSpPr txBox="1"/>
      </xdr:nvSpPr>
      <xdr:spPr>
        <a:xfrm>
          <a:off x="1828800" y="785053"/>
          <a:ext cx="1349828" cy="37907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accent5">
                  <a:lumMod val="50000"/>
                </a:schemeClr>
              </a:solidFill>
            </a:rPr>
            <a:t>₹  0.22M</a:t>
          </a:r>
        </a:p>
      </xdr:txBody>
    </xdr:sp>
    <xdr:clientData/>
  </xdr:twoCellAnchor>
  <xdr:twoCellAnchor>
    <xdr:from>
      <xdr:col>2</xdr:col>
      <xdr:colOff>468086</xdr:colOff>
      <xdr:row>1</xdr:row>
      <xdr:rowOff>163286</xdr:rowOff>
    </xdr:from>
    <xdr:to>
      <xdr:col>5</xdr:col>
      <xdr:colOff>228601</xdr:colOff>
      <xdr:row>3</xdr:row>
      <xdr:rowOff>119743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8E95DEE-2AFC-9A43-A0BF-778034C63440}"/>
            </a:ext>
          </a:extLst>
        </xdr:cNvPr>
        <xdr:cNvSpPr/>
      </xdr:nvSpPr>
      <xdr:spPr>
        <a:xfrm>
          <a:off x="1687286" y="348343"/>
          <a:ext cx="1589315" cy="32657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latin typeface="Algerian" panose="04020705040A02060702" pitchFamily="82" charset="0"/>
            </a:rPr>
            <a:t>  Total</a:t>
          </a:r>
          <a:r>
            <a:rPr lang="en-IN" sz="1600" baseline="0">
              <a:latin typeface="Algerian" panose="04020705040A02060702" pitchFamily="82" charset="0"/>
            </a:rPr>
            <a:t> SALES</a:t>
          </a:r>
          <a:endParaRPr lang="en-IN" sz="1600">
            <a:latin typeface="Algerian" panose="04020705040A02060702" pitchFamily="82" charset="0"/>
          </a:endParaRPr>
        </a:p>
      </xdr:txBody>
    </xdr:sp>
    <xdr:clientData/>
  </xdr:twoCellAnchor>
  <xdr:twoCellAnchor>
    <xdr:from>
      <xdr:col>6</xdr:col>
      <xdr:colOff>217714</xdr:colOff>
      <xdr:row>2</xdr:row>
      <xdr:rowOff>21772</xdr:rowOff>
    </xdr:from>
    <xdr:to>
      <xdr:col>9</xdr:col>
      <xdr:colOff>326571</xdr:colOff>
      <xdr:row>3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6482A39-C4A0-3B32-6A01-370EE9986C89}"/>
            </a:ext>
          </a:extLst>
        </xdr:cNvPr>
        <xdr:cNvSpPr/>
      </xdr:nvSpPr>
      <xdr:spPr>
        <a:xfrm>
          <a:off x="3875314" y="391886"/>
          <a:ext cx="1937657" cy="31568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latin typeface="Algerian" panose="04020705040A02060702" pitchFamily="82" charset="0"/>
            </a:rPr>
            <a:t>Rating Count</a:t>
          </a:r>
        </a:p>
      </xdr:txBody>
    </xdr:sp>
    <xdr:clientData/>
  </xdr:twoCellAnchor>
  <xdr:twoCellAnchor>
    <xdr:from>
      <xdr:col>13</xdr:col>
      <xdr:colOff>359228</xdr:colOff>
      <xdr:row>2</xdr:row>
      <xdr:rowOff>50800</xdr:rowOff>
    </xdr:from>
    <xdr:to>
      <xdr:col>17</xdr:col>
      <xdr:colOff>152400</xdr:colOff>
      <xdr:row>4</xdr:row>
      <xdr:rowOff>38595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04FF852-C23F-CCBE-CECF-4C4727318B09}"/>
            </a:ext>
          </a:extLst>
        </xdr:cNvPr>
        <xdr:cNvSpPr/>
      </xdr:nvSpPr>
      <xdr:spPr>
        <a:xfrm>
          <a:off x="8284028" y="406400"/>
          <a:ext cx="2231572" cy="34339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latin typeface="Algerian" panose="04020705040A02060702" pitchFamily="82" charset="0"/>
            </a:rPr>
            <a:t>Avg Rating</a:t>
          </a:r>
        </a:p>
      </xdr:txBody>
    </xdr:sp>
    <xdr:clientData/>
  </xdr:twoCellAnchor>
  <xdr:twoCellAnchor>
    <xdr:from>
      <xdr:col>17</xdr:col>
      <xdr:colOff>489857</xdr:colOff>
      <xdr:row>4</xdr:row>
      <xdr:rowOff>63500</xdr:rowOff>
    </xdr:from>
    <xdr:to>
      <xdr:col>19</xdr:col>
      <xdr:colOff>279400</xdr:colOff>
      <xdr:row>6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9CB2994-8CC3-6353-2A4E-52E0FC5D11C8}"/>
            </a:ext>
          </a:extLst>
        </xdr:cNvPr>
        <xdr:cNvSpPr/>
      </xdr:nvSpPr>
      <xdr:spPr>
        <a:xfrm>
          <a:off x="10853057" y="774700"/>
          <a:ext cx="1008743" cy="292100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accent1">
                  <a:lumMod val="50000"/>
                </a:schemeClr>
              </a:solidFill>
            </a:rPr>
            <a:t>=₹ 0.05M</a:t>
          </a:r>
        </a:p>
      </xdr:txBody>
    </xdr:sp>
    <xdr:clientData/>
  </xdr:twoCellAnchor>
  <xdr:twoCellAnchor>
    <xdr:from>
      <xdr:col>6</xdr:col>
      <xdr:colOff>206829</xdr:colOff>
      <xdr:row>4</xdr:row>
      <xdr:rowOff>8965</xdr:rowOff>
    </xdr:from>
    <xdr:to>
      <xdr:col>8</xdr:col>
      <xdr:colOff>25401</xdr:colOff>
      <xdr:row>6</xdr:row>
      <xdr:rowOff>80682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D68236B-37DA-C49F-5648-A0774BAEDF5A}"/>
            </a:ext>
          </a:extLst>
        </xdr:cNvPr>
        <xdr:cNvSpPr/>
      </xdr:nvSpPr>
      <xdr:spPr>
        <a:xfrm>
          <a:off x="3864429" y="720165"/>
          <a:ext cx="1037772" cy="42731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accent1">
                  <a:lumMod val="50000"/>
                </a:schemeClr>
              </a:solidFill>
            </a:rPr>
            <a:t>₹ 0.05 M</a:t>
          </a:r>
        </a:p>
      </xdr:txBody>
    </xdr:sp>
    <xdr:clientData/>
  </xdr:twoCellAnchor>
  <xdr:twoCellAnchor>
    <xdr:from>
      <xdr:col>10</xdr:col>
      <xdr:colOff>89007</xdr:colOff>
      <xdr:row>3</xdr:row>
      <xdr:rowOff>174173</xdr:rowOff>
    </xdr:from>
    <xdr:to>
      <xdr:col>12</xdr:col>
      <xdr:colOff>35219</xdr:colOff>
      <xdr:row>6</xdr:row>
      <xdr:rowOff>24974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9AD9527-6C65-DFEA-4319-2B9949B54272}"/>
            </a:ext>
          </a:extLst>
        </xdr:cNvPr>
        <xdr:cNvSpPr/>
      </xdr:nvSpPr>
      <xdr:spPr>
        <a:xfrm>
          <a:off x="6185007" y="729344"/>
          <a:ext cx="1165412" cy="405973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accent1">
                  <a:lumMod val="50000"/>
                </a:schemeClr>
              </a:solidFill>
            </a:rPr>
            <a:t>=149</a:t>
          </a:r>
        </a:p>
      </xdr:txBody>
    </xdr:sp>
    <xdr:clientData/>
  </xdr:twoCellAnchor>
  <xdr:twoCellAnchor>
    <xdr:from>
      <xdr:col>13</xdr:col>
      <xdr:colOff>424544</xdr:colOff>
      <xdr:row>4</xdr:row>
      <xdr:rowOff>76200</xdr:rowOff>
    </xdr:from>
    <xdr:to>
      <xdr:col>15</xdr:col>
      <xdr:colOff>576944</xdr:colOff>
      <xdr:row>6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4611C91-C3E0-0278-CB59-344B6E4BD7F0}"/>
            </a:ext>
          </a:extLst>
        </xdr:cNvPr>
        <xdr:cNvSpPr/>
      </xdr:nvSpPr>
      <xdr:spPr>
        <a:xfrm>
          <a:off x="8349344" y="816429"/>
          <a:ext cx="1371600" cy="293914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accent1">
                  <a:lumMod val="50000"/>
                </a:schemeClr>
              </a:solidFill>
              <a:latin typeface="+mn-lt"/>
            </a:rPr>
            <a:t>=4.72</a:t>
          </a:r>
        </a:p>
      </xdr:txBody>
    </xdr:sp>
    <xdr:clientData/>
  </xdr:twoCellAnchor>
  <xdr:twoCellAnchor>
    <xdr:from>
      <xdr:col>10</xdr:col>
      <xdr:colOff>32657</xdr:colOff>
      <xdr:row>2</xdr:row>
      <xdr:rowOff>21773</xdr:rowOff>
    </xdr:from>
    <xdr:to>
      <xdr:col>12</xdr:col>
      <xdr:colOff>304799</xdr:colOff>
      <xdr:row>3</xdr:row>
      <xdr:rowOff>119743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2F68A89E-EA4F-F861-695C-1189D2657AD8}"/>
            </a:ext>
          </a:extLst>
        </xdr:cNvPr>
        <xdr:cNvSpPr txBox="1">
          <a:spLocks noChangeArrowheads="1"/>
        </xdr:cNvSpPr>
      </xdr:nvSpPr>
      <xdr:spPr bwMode="auto">
        <a:xfrm>
          <a:off x="6128657" y="391887"/>
          <a:ext cx="1491342" cy="28302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IN" sz="1600" b="0" i="0" u="none" strike="noStrike" baseline="0">
              <a:solidFill>
                <a:srgbClr val="000000"/>
              </a:solidFill>
              <a:latin typeface="Algerian" panose="04020705040A02060702" pitchFamily="82" charset="0"/>
              <a:ea typeface="Calibri"/>
              <a:cs typeface="Calibri"/>
            </a:rPr>
            <a:t>Orders</a:t>
          </a:r>
        </a:p>
      </xdr:txBody>
    </xdr:sp>
    <xdr:clientData/>
  </xdr:twoCellAnchor>
  <xdr:twoCellAnchor>
    <xdr:from>
      <xdr:col>17</xdr:col>
      <xdr:colOff>413657</xdr:colOff>
      <xdr:row>1</xdr:row>
      <xdr:rowOff>139700</xdr:rowOff>
    </xdr:from>
    <xdr:to>
      <xdr:col>19</xdr:col>
      <xdr:colOff>254001</xdr:colOff>
      <xdr:row>3</xdr:row>
      <xdr:rowOff>138546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9269643-A225-2A62-9250-D558573D34C0}"/>
            </a:ext>
          </a:extLst>
        </xdr:cNvPr>
        <xdr:cNvSpPr/>
      </xdr:nvSpPr>
      <xdr:spPr>
        <a:xfrm>
          <a:off x="10776857" y="317500"/>
          <a:ext cx="1059544" cy="35444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latin typeface="Algerian" panose="04020705040A02060702" pitchFamily="82" charset="0"/>
            </a:rPr>
            <a:t>A.O.V</a:t>
          </a:r>
        </a:p>
      </xdr:txBody>
    </xdr:sp>
    <xdr:clientData/>
  </xdr:twoCellAnchor>
  <xdr:twoCellAnchor editAs="oneCell">
    <xdr:from>
      <xdr:col>5</xdr:col>
      <xdr:colOff>217242</xdr:colOff>
      <xdr:row>2</xdr:row>
      <xdr:rowOff>65315</xdr:rowOff>
    </xdr:from>
    <xdr:to>
      <xdr:col>6</xdr:col>
      <xdr:colOff>76200</xdr:colOff>
      <xdr:row>6</xdr:row>
      <xdr:rowOff>43543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E664D62-57FA-1692-4744-2DA934D66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242" y="435429"/>
          <a:ext cx="468558" cy="718457"/>
        </a:xfrm>
        <a:prstGeom prst="rect">
          <a:avLst/>
        </a:prstGeom>
      </xdr:spPr>
    </xdr:pic>
    <xdr:clientData/>
  </xdr:twoCellAnchor>
  <xdr:twoCellAnchor editAs="oneCell">
    <xdr:from>
      <xdr:col>12</xdr:col>
      <xdr:colOff>326572</xdr:colOff>
      <xdr:row>2</xdr:row>
      <xdr:rowOff>21772</xdr:rowOff>
    </xdr:from>
    <xdr:to>
      <xdr:col>13</xdr:col>
      <xdr:colOff>250372</xdr:colOff>
      <xdr:row>6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5F5127C-200E-CC35-57A5-0303E93D7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1772" y="391886"/>
          <a:ext cx="533400" cy="718457"/>
        </a:xfrm>
        <a:prstGeom prst="rect">
          <a:avLst/>
        </a:prstGeom>
      </xdr:spPr>
    </xdr:pic>
    <xdr:clientData/>
  </xdr:twoCellAnchor>
  <xdr:twoCellAnchor editAs="oneCell">
    <xdr:from>
      <xdr:col>15</xdr:col>
      <xdr:colOff>444500</xdr:colOff>
      <xdr:row>2</xdr:row>
      <xdr:rowOff>139702</xdr:rowOff>
    </xdr:from>
    <xdr:to>
      <xdr:col>17</xdr:col>
      <xdr:colOff>101600</xdr:colOff>
      <xdr:row>4</xdr:row>
      <xdr:rowOff>23092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EF80C8E-CB99-D4F1-CCC2-00C894A27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588500" y="495302"/>
          <a:ext cx="876300" cy="23899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63501</xdr:colOff>
      <xdr:row>3</xdr:row>
      <xdr:rowOff>152400</xdr:rowOff>
    </xdr:from>
    <xdr:to>
      <xdr:col>9</xdr:col>
      <xdr:colOff>444500</xdr:colOff>
      <xdr:row>6</xdr:row>
      <xdr:rowOff>101600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58AD13A-2062-AC72-7E21-F2F145ACD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0301" y="685800"/>
          <a:ext cx="990599" cy="482600"/>
        </a:xfrm>
        <a:prstGeom prst="rect">
          <a:avLst/>
        </a:prstGeom>
      </xdr:spPr>
    </xdr:pic>
    <xdr:clientData/>
  </xdr:twoCellAnchor>
  <xdr:twoCellAnchor editAs="oneCell">
    <xdr:from>
      <xdr:col>19</xdr:col>
      <xdr:colOff>317500</xdr:colOff>
      <xdr:row>2</xdr:row>
      <xdr:rowOff>12700</xdr:rowOff>
    </xdr:from>
    <xdr:to>
      <xdr:col>21</xdr:col>
      <xdr:colOff>215900</xdr:colOff>
      <xdr:row>5</xdr:row>
      <xdr:rowOff>139700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0D7275C-2912-84CD-9AC0-1E15EC7BA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9900" y="368300"/>
          <a:ext cx="1117600" cy="660400"/>
        </a:xfrm>
        <a:prstGeom prst="rect">
          <a:avLst/>
        </a:prstGeom>
      </xdr:spPr>
    </xdr:pic>
    <xdr:clientData/>
  </xdr:twoCellAnchor>
  <xdr:twoCellAnchor>
    <xdr:from>
      <xdr:col>0</xdr:col>
      <xdr:colOff>50800</xdr:colOff>
      <xdr:row>1</xdr:row>
      <xdr:rowOff>50800</xdr:rowOff>
    </xdr:from>
    <xdr:to>
      <xdr:col>2</xdr:col>
      <xdr:colOff>342900</xdr:colOff>
      <xdr:row>5</xdr:row>
      <xdr:rowOff>165100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124090E-7294-42A6-57D6-35189F9C0B95}"/>
            </a:ext>
          </a:extLst>
        </xdr:cNvPr>
        <xdr:cNvSpPr/>
      </xdr:nvSpPr>
      <xdr:spPr>
        <a:xfrm>
          <a:off x="50800" y="228600"/>
          <a:ext cx="1511300" cy="825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101600</xdr:colOff>
      <xdr:row>1</xdr:row>
      <xdr:rowOff>71890</xdr:rowOff>
    </xdr:from>
    <xdr:to>
      <xdr:col>2</xdr:col>
      <xdr:colOff>355600</xdr:colOff>
      <xdr:row>5</xdr:row>
      <xdr:rowOff>114300</xdr:rowOff>
    </xdr:to>
    <xdr:pic>
      <xdr:nvPicPr>
        <xdr:cNvPr id="1024" name="Picture 1023">
          <a:extLst>
            <a:ext uri="{FF2B5EF4-FFF2-40B4-BE49-F238E27FC236}">
              <a16:creationId xmlns:a16="http://schemas.microsoft.com/office/drawing/2014/main" id="{5E30D61F-6613-CD05-BDFD-8B4BE0ED5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249690"/>
          <a:ext cx="1473200" cy="753610"/>
        </a:xfrm>
        <a:prstGeom prst="rect">
          <a:avLst/>
        </a:prstGeom>
      </xdr:spPr>
    </xdr:pic>
    <xdr:clientData/>
  </xdr:twoCellAnchor>
  <xdr:twoCellAnchor>
    <xdr:from>
      <xdr:col>0</xdr:col>
      <xdr:colOff>50800</xdr:colOff>
      <xdr:row>14</xdr:row>
      <xdr:rowOff>127000</xdr:rowOff>
    </xdr:from>
    <xdr:to>
      <xdr:col>2</xdr:col>
      <xdr:colOff>444500</xdr:colOff>
      <xdr:row>45</xdr:row>
      <xdr:rowOff>152400</xdr:rowOff>
    </xdr:to>
    <xdr:sp macro="" textlink="">
      <xdr:nvSpPr>
        <xdr:cNvPr id="1025" name="Rectangle: Rounded Corners 1024">
          <a:extLst>
            <a:ext uri="{FF2B5EF4-FFF2-40B4-BE49-F238E27FC236}">
              <a16:creationId xmlns:a16="http://schemas.microsoft.com/office/drawing/2014/main" id="{3983A47D-7594-4F87-92E1-62E26FE167AE}"/>
            </a:ext>
          </a:extLst>
        </xdr:cNvPr>
        <xdr:cNvSpPr/>
      </xdr:nvSpPr>
      <xdr:spPr>
        <a:xfrm>
          <a:off x="50800" y="2616200"/>
          <a:ext cx="1612900" cy="553720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88900</xdr:colOff>
      <xdr:row>6</xdr:row>
      <xdr:rowOff>12700</xdr:rowOff>
    </xdr:from>
    <xdr:to>
      <xdr:col>2</xdr:col>
      <xdr:colOff>368300</xdr:colOff>
      <xdr:row>13</xdr:row>
      <xdr:rowOff>139700</xdr:rowOff>
    </xdr:to>
    <xdr:sp macro="" textlink="">
      <xdr:nvSpPr>
        <xdr:cNvPr id="1028" name="Text Box 3">
          <a:extLst>
            <a:ext uri="{FF2B5EF4-FFF2-40B4-BE49-F238E27FC236}">
              <a16:creationId xmlns:a16="http://schemas.microsoft.com/office/drawing/2014/main" id="{E357CCE2-A0D4-B67E-D57C-4EFB1838EF61}"/>
            </a:ext>
          </a:extLst>
        </xdr:cNvPr>
        <xdr:cNvSpPr txBox="1">
          <a:spLocks noChangeArrowheads="1"/>
        </xdr:cNvSpPr>
      </xdr:nvSpPr>
      <xdr:spPr bwMode="auto">
        <a:xfrm>
          <a:off x="88900" y="1079500"/>
          <a:ext cx="1498600" cy="1371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IN" sz="2800" b="0" i="0" u="none" strike="noStrike" baseline="0">
              <a:solidFill>
                <a:srgbClr val="000000"/>
              </a:solidFill>
              <a:latin typeface="Brush Script MT" panose="03060802040406070304" pitchFamily="66" charset="0"/>
              <a:ea typeface="Calibri"/>
              <a:cs typeface="Calibri"/>
            </a:rPr>
            <a:t>Where Every Bite Tells a Story</a:t>
          </a:r>
        </a:p>
      </xdr:txBody>
    </xdr:sp>
    <xdr:clientData/>
  </xdr:twoCellAnchor>
  <xdr:twoCellAnchor>
    <xdr:from>
      <xdr:col>2</xdr:col>
      <xdr:colOff>469900</xdr:colOff>
      <xdr:row>7</xdr:row>
      <xdr:rowOff>25400</xdr:rowOff>
    </xdr:from>
    <xdr:to>
      <xdr:col>11</xdr:col>
      <xdr:colOff>76200</xdr:colOff>
      <xdr:row>22</xdr:row>
      <xdr:rowOff>127000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52A31358-FC2E-4E6A-A070-354E5CB58A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508000</xdr:colOff>
      <xdr:row>7</xdr:row>
      <xdr:rowOff>101600</xdr:rowOff>
    </xdr:from>
    <xdr:to>
      <xdr:col>6</xdr:col>
      <xdr:colOff>406400</xdr:colOff>
      <xdr:row>9</xdr:row>
      <xdr:rowOff>12700</xdr:rowOff>
    </xdr:to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545E5858-E3F9-FB95-6487-1D9DCE14E345}"/>
            </a:ext>
          </a:extLst>
        </xdr:cNvPr>
        <xdr:cNvSpPr/>
      </xdr:nvSpPr>
      <xdr:spPr>
        <a:xfrm>
          <a:off x="2946400" y="1346200"/>
          <a:ext cx="1117600" cy="2667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Monthly</a:t>
          </a:r>
          <a:r>
            <a:rPr lang="en-IN" sz="1100" baseline="0"/>
            <a:t> sales</a:t>
          </a:r>
          <a:endParaRPr lang="en-IN" sz="1100"/>
        </a:p>
      </xdr:txBody>
    </xdr:sp>
    <xdr:clientData/>
  </xdr:twoCellAnchor>
  <xdr:twoCellAnchor>
    <xdr:from>
      <xdr:col>17</xdr:col>
      <xdr:colOff>402771</xdr:colOff>
      <xdr:row>7</xdr:row>
      <xdr:rowOff>21772</xdr:rowOff>
    </xdr:from>
    <xdr:to>
      <xdr:col>21</xdr:col>
      <xdr:colOff>326570</xdr:colOff>
      <xdr:row>17</xdr:row>
      <xdr:rowOff>87087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4C2BDA21-78BE-4332-A493-CF18C5579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127000</xdr:colOff>
      <xdr:row>7</xdr:row>
      <xdr:rowOff>0</xdr:rowOff>
    </xdr:from>
    <xdr:to>
      <xdr:col>17</xdr:col>
      <xdr:colOff>363220</xdr:colOff>
      <xdr:row>17</xdr:row>
      <xdr:rowOff>124460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912FEF54-156B-4F9B-AD8F-96F85206E9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533400</xdr:colOff>
      <xdr:row>23</xdr:row>
      <xdr:rowOff>12700</xdr:rowOff>
    </xdr:from>
    <xdr:to>
      <xdr:col>11</xdr:col>
      <xdr:colOff>63500</xdr:colOff>
      <xdr:row>34</xdr:row>
      <xdr:rowOff>127000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1DA5DEB5-BD6D-4E93-9672-80B36CA824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401783</xdr:colOff>
      <xdr:row>7</xdr:row>
      <xdr:rowOff>41563</xdr:rowOff>
    </xdr:from>
    <xdr:to>
      <xdr:col>15</xdr:col>
      <xdr:colOff>568037</xdr:colOff>
      <xdr:row>8</xdr:row>
      <xdr:rowOff>124691</xdr:rowOff>
    </xdr:to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45DD2303-13FE-DB33-C531-D5C453E02915}"/>
            </a:ext>
          </a:extLst>
        </xdr:cNvPr>
        <xdr:cNvSpPr/>
      </xdr:nvSpPr>
      <xdr:spPr>
        <a:xfrm>
          <a:off x="7716983" y="1302327"/>
          <a:ext cx="1995054" cy="26323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Sales by food type</a:t>
          </a:r>
        </a:p>
      </xdr:txBody>
    </xdr:sp>
    <xdr:clientData/>
  </xdr:twoCellAnchor>
  <xdr:twoCellAnchor>
    <xdr:from>
      <xdr:col>4</xdr:col>
      <xdr:colOff>193964</xdr:colOff>
      <xdr:row>23</xdr:row>
      <xdr:rowOff>69274</xdr:rowOff>
    </xdr:from>
    <xdr:to>
      <xdr:col>7</xdr:col>
      <xdr:colOff>166255</xdr:colOff>
      <xdr:row>24</xdr:row>
      <xdr:rowOff>152401</xdr:rowOff>
    </xdr:to>
    <xdr:sp macro="" textlink="">
      <xdr:nvSpPr>
        <xdr:cNvPr id="1031" name="Rectangle: Single Corner Rounded 1030">
          <a:extLst>
            <a:ext uri="{FF2B5EF4-FFF2-40B4-BE49-F238E27FC236}">
              <a16:creationId xmlns:a16="http://schemas.microsoft.com/office/drawing/2014/main" id="{3CE9A1BC-AA39-F382-B9EF-F1DC14047508}"/>
            </a:ext>
          </a:extLst>
        </xdr:cNvPr>
        <xdr:cNvSpPr/>
      </xdr:nvSpPr>
      <xdr:spPr>
        <a:xfrm>
          <a:off x="2632364" y="4211783"/>
          <a:ext cx="1801091" cy="263236"/>
        </a:xfrm>
        <a:prstGeom prst="round1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solidFill>
                <a:schemeClr val="tx1"/>
              </a:solidFill>
            </a:rPr>
            <a:t>Daily  Sales Trend</a:t>
          </a:r>
        </a:p>
      </xdr:txBody>
    </xdr:sp>
    <xdr:clientData/>
  </xdr:twoCellAnchor>
  <xdr:twoCellAnchor>
    <xdr:from>
      <xdr:col>2</xdr:col>
      <xdr:colOff>526474</xdr:colOff>
      <xdr:row>35</xdr:row>
      <xdr:rowOff>0</xdr:rowOff>
    </xdr:from>
    <xdr:to>
      <xdr:col>11</xdr:col>
      <xdr:colOff>83128</xdr:colOff>
      <xdr:row>46</xdr:row>
      <xdr:rowOff>27709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FF533627-6EF1-4770-9F61-3218137DEC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413657</xdr:colOff>
      <xdr:row>35</xdr:row>
      <xdr:rowOff>21771</xdr:rowOff>
    </xdr:from>
    <xdr:to>
      <xdr:col>11</xdr:col>
      <xdr:colOff>54429</xdr:colOff>
      <xdr:row>37</xdr:row>
      <xdr:rowOff>87086</xdr:rowOff>
    </xdr:to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1DE4A965-81F4-7F8A-7E92-B0C93C292B90}"/>
            </a:ext>
          </a:extLst>
        </xdr:cNvPr>
        <xdr:cNvSpPr/>
      </xdr:nvSpPr>
      <xdr:spPr>
        <a:xfrm>
          <a:off x="5290457" y="6498771"/>
          <a:ext cx="1469572" cy="435429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accent1"/>
              </a:solidFill>
            </a:rPr>
            <a:t>Total Sales Rating &amp;</a:t>
          </a:r>
          <a:r>
            <a:rPr lang="en-IN" sz="1100" baseline="0">
              <a:solidFill>
                <a:schemeClr val="accent1"/>
              </a:solidFill>
            </a:rPr>
            <a:t> Total Order by Sales</a:t>
          </a:r>
          <a:endParaRPr lang="en-IN" sz="1100">
            <a:solidFill>
              <a:schemeClr val="accent1"/>
            </a:solidFill>
          </a:endParaRPr>
        </a:p>
      </xdr:txBody>
    </xdr:sp>
    <xdr:clientData/>
  </xdr:twoCellAnchor>
  <xdr:twoCellAnchor>
    <xdr:from>
      <xdr:col>11</xdr:col>
      <xdr:colOff>83128</xdr:colOff>
      <xdr:row>18</xdr:row>
      <xdr:rowOff>0</xdr:rowOff>
    </xdr:from>
    <xdr:to>
      <xdr:col>17</xdr:col>
      <xdr:colOff>332509</xdr:colOff>
      <xdr:row>34</xdr:row>
      <xdr:rowOff>110836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8" name="Chart 47">
              <a:extLst>
                <a:ext uri="{FF2B5EF4-FFF2-40B4-BE49-F238E27FC236}">
                  <a16:creationId xmlns:a16="http://schemas.microsoft.com/office/drawing/2014/main" id="{4C8D7D3E-DE31-444E-A73E-4DDEF2C08D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88728" y="3241964"/>
              <a:ext cx="3906981" cy="29925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318654</xdr:colOff>
      <xdr:row>18</xdr:row>
      <xdr:rowOff>55418</xdr:rowOff>
    </xdr:from>
    <xdr:to>
      <xdr:col>17</xdr:col>
      <xdr:colOff>110835</xdr:colOff>
      <xdr:row>20</xdr:row>
      <xdr:rowOff>0</xdr:rowOff>
    </xdr:to>
    <xdr:sp macro="" textlink="">
      <xdr:nvSpPr>
        <xdr:cNvPr id="1033" name="Rectangle 1032">
          <a:extLst>
            <a:ext uri="{FF2B5EF4-FFF2-40B4-BE49-F238E27FC236}">
              <a16:creationId xmlns:a16="http://schemas.microsoft.com/office/drawing/2014/main" id="{1BB113A4-BD7A-D014-71E5-D67A354F4DDD}"/>
            </a:ext>
          </a:extLst>
        </xdr:cNvPr>
        <xdr:cNvSpPr/>
      </xdr:nvSpPr>
      <xdr:spPr>
        <a:xfrm>
          <a:off x="8243454" y="3297382"/>
          <a:ext cx="2230581" cy="3048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solidFill>
                <a:schemeClr val="tx1"/>
              </a:solidFill>
            </a:rPr>
            <a:t>State wise Sales</a:t>
          </a:r>
        </a:p>
      </xdr:txBody>
    </xdr:sp>
    <xdr:clientData/>
  </xdr:twoCellAnchor>
  <xdr:twoCellAnchor>
    <xdr:from>
      <xdr:col>11</xdr:col>
      <xdr:colOff>110837</xdr:colOff>
      <xdr:row>34</xdr:row>
      <xdr:rowOff>138546</xdr:rowOff>
    </xdr:from>
    <xdr:to>
      <xdr:col>17</xdr:col>
      <xdr:colOff>335280</xdr:colOff>
      <xdr:row>46</xdr:row>
      <xdr:rowOff>55418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146B7491-C494-491D-9008-5F34BB883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400049</xdr:colOff>
      <xdr:row>17</xdr:row>
      <xdr:rowOff>152400</xdr:rowOff>
    </xdr:from>
    <xdr:to>
      <xdr:col>21</xdr:col>
      <xdr:colOff>313764</xdr:colOff>
      <xdr:row>46</xdr:row>
      <xdr:rowOff>19050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A4968C07-1B36-4364-85D3-29A959B562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96981</xdr:colOff>
      <xdr:row>14</xdr:row>
      <xdr:rowOff>152400</xdr:rowOff>
    </xdr:from>
    <xdr:to>
      <xdr:col>2</xdr:col>
      <xdr:colOff>374071</xdr:colOff>
      <xdr:row>45</xdr:row>
      <xdr:rowOff>110836</xdr:rowOff>
    </xdr:to>
    <xdr:sp macro="" textlink="">
      <xdr:nvSpPr>
        <xdr:cNvPr id="1034" name="Rectangle: Rounded Corners 1033">
          <a:extLst>
            <a:ext uri="{FF2B5EF4-FFF2-40B4-BE49-F238E27FC236}">
              <a16:creationId xmlns:a16="http://schemas.microsoft.com/office/drawing/2014/main" id="{C4BD849C-2017-C074-3D1C-3663494C6E87}"/>
            </a:ext>
          </a:extLst>
        </xdr:cNvPr>
        <xdr:cNvSpPr/>
      </xdr:nvSpPr>
      <xdr:spPr>
        <a:xfrm>
          <a:off x="96981" y="2673927"/>
          <a:ext cx="1496290" cy="554181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>
              <a:solidFill>
                <a:schemeClr val="tx1"/>
              </a:solidFill>
            </a:rPr>
            <a:t>Srinidhi Sagar Restaurant</a:t>
          </a:r>
          <a:br>
            <a:rPr lang="en-IN" sz="1800">
              <a:solidFill>
                <a:schemeClr val="tx1"/>
              </a:solidFill>
            </a:rPr>
          </a:br>
          <a:br>
            <a:rPr lang="en-IN" sz="1800">
              <a:solidFill>
                <a:schemeClr val="tx1"/>
              </a:solidFill>
            </a:rPr>
          </a:br>
          <a:r>
            <a:rPr lang="en-IN" sz="1800">
              <a:solidFill>
                <a:schemeClr val="tx1"/>
              </a:solidFill>
            </a:rPr>
            <a:t>MG Road, Indiranagar</a:t>
          </a:r>
          <a:br>
            <a:rPr lang="en-IN" sz="1800">
              <a:solidFill>
                <a:schemeClr val="tx1"/>
              </a:solidFill>
            </a:rPr>
          </a:br>
          <a:r>
            <a:rPr lang="en-IN" sz="1800">
              <a:solidFill>
                <a:schemeClr val="tx1"/>
              </a:solidFill>
            </a:rPr>
            <a:t>Bengaluru, Karnataka - 560038</a:t>
          </a:r>
          <a:br>
            <a:rPr lang="en-IN" sz="1800">
              <a:solidFill>
                <a:schemeClr val="tx1"/>
              </a:solidFill>
            </a:rPr>
          </a:br>
          <a:br>
            <a:rPr lang="en-IN" sz="1800">
              <a:solidFill>
                <a:schemeClr val="tx1"/>
              </a:solidFill>
            </a:rPr>
          </a:br>
          <a:r>
            <a:rPr lang="en-IN" sz="1050">
              <a:solidFill>
                <a:schemeClr val="tx1"/>
              </a:solidFill>
            </a:rPr>
            <a:t>📞 +91 98765 43210</a:t>
          </a:r>
          <a:br>
            <a:rPr lang="en-IN" sz="1800">
              <a:solidFill>
                <a:schemeClr val="tx1"/>
              </a:solidFill>
            </a:rPr>
          </a:br>
          <a:r>
            <a:rPr lang="en-IN" sz="1800">
              <a:solidFill>
                <a:schemeClr val="tx1"/>
              </a:solidFill>
            </a:rPr>
            <a:t>🌐 www.srinidhisagar.com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74.099534374996" createdVersion="8" refreshedVersion="8" minRefreshableVersion="3" recordCount="149" xr:uid="{D33CF43A-F616-46AA-983D-5EE60DF332D3}">
  <cacheSource type="worksheet">
    <worksheetSource ref="A2:N151" sheet="Resturant Data"/>
  </cacheSource>
  <cacheFields count="12">
    <cacheField name="ROW ID" numFmtId="0">
      <sharedItems containsSemiMixedTypes="0" containsString="0" containsNumber="1" containsInteger="1" minValue="1" maxValue="149"/>
    </cacheField>
    <cacheField name="State" numFmtId="0">
      <sharedItems count="28">
        <s v="Andhra Pradesh"/>
        <s v="Arunachal Pradesh"/>
        <s v="Himachal Pradesh"/>
        <s v="Madhya Pradesh"/>
        <s v="Maharashtra"/>
        <s v="Manipur"/>
        <s v="Meghalaya"/>
        <s v="Mizoram"/>
        <s v="Telangana"/>
        <s v="Tripura"/>
        <s v="Uttar Pradesh"/>
        <s v="Chhattisgarh"/>
        <s v="Goa"/>
        <s v="Gujarat"/>
        <s v="Haryana"/>
        <s v="Jharkhand"/>
        <s v="Nagaland"/>
        <s v="Odisha"/>
        <s v="Punjab"/>
        <s v="Uttarakhand"/>
        <s v="West Bengal"/>
        <s v="Rajasthan"/>
        <s v="Sikkim"/>
        <s v="Tamil Nadu"/>
        <s v="Assam"/>
        <s v="Bihar"/>
        <s v="Karnataka"/>
        <s v="Kerala"/>
      </sharedItems>
    </cacheField>
    <cacheField name="City" numFmtId="0">
      <sharedItems/>
    </cacheField>
    <cacheField name="Order Date" numFmtId="14">
      <sharedItems containsSemiMixedTypes="0" containsNonDate="0" containsDate="1" containsString="0" minDate="2025-01-04T00:00:00" maxDate="2025-12-31T00:00:00" count="50">
        <d v="2025-01-05T00:00:00"/>
        <d v="2025-02-18T00:00:00"/>
        <d v="2025-03-27T00:00:00"/>
        <d v="2025-04-11T00:00:00"/>
        <d v="2025-05-22T00:00:00"/>
        <d v="2025-06-09T00:00:00"/>
        <d v="2025-07-15T00:00:00"/>
        <d v="2025-08-28T00:00:00"/>
        <d v="2025-09-03T00:00:00"/>
        <d v="2025-10-19T00:00:00"/>
        <d v="2025-11-07T00:00:00"/>
        <d v="2025-12-24T00:00:00"/>
        <d v="2025-01-13T00:00:00"/>
        <d v="2025-02-26T00:00:00"/>
        <d v="2025-03-08T00:00:00"/>
        <d v="2025-04-21T00:00:00"/>
        <d v="2025-05-02T00:00:00"/>
        <d v="2025-06-17T00:00:00"/>
        <d v="2025-07-29T00:00:00"/>
        <d v="2025-08-14T00:00:00"/>
        <d v="2025-09-25T00:00:00"/>
        <d v="2025-10-10T00:00:00"/>
        <d v="2025-11-18T00:00:00"/>
        <d v="2025-12-30T00:00:00"/>
        <d v="2025-01-04T00:00:00"/>
        <d v="2025-02-16T00:00:00"/>
        <d v="2025-03-23T00:00:00"/>
        <d v="2025-04-06T00:00:00"/>
        <d v="2025-05-20T00:00:00"/>
        <d v="2025-06-12T00:00:00"/>
        <d v="2025-07-27T00:00:00"/>
        <d v="2025-08-09T00:00:00"/>
        <d v="2025-09-22T00:00:00"/>
        <d v="2025-10-05T00:00:00"/>
        <d v="2025-11-17T00:00:00"/>
        <d v="2025-12-28T00:00:00"/>
        <d v="2025-01-08T00:00:00"/>
        <d v="2025-02-19T00:00:00"/>
        <d v="2025-03-31T00:00:00"/>
        <d v="2025-04-15T00:00:00"/>
        <d v="2025-05-26T00:00:00"/>
        <d v="2025-06-07T00:00:00"/>
        <d v="2025-07-18T00:00:00"/>
        <d v="2025-08-30T00:00:00"/>
        <d v="2025-09-11T00:00:00"/>
        <d v="2025-10-24T00:00:00"/>
        <d v="2025-11-06T00:00:00"/>
        <d v="2025-12-19T00:00:00"/>
        <d v="2025-02-02T00:00:00"/>
        <d v="2025-03-14T00:00:00"/>
      </sharedItems>
      <fieldGroup par="11" base="3">
        <rangePr groupBy="days" startDate="2025-01-04T00:00:00" endDate="2025-12-31T00:00:00"/>
        <groupItems count="368">
          <s v="&lt;04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12-2025"/>
        </groupItems>
      </fieldGroup>
    </cacheField>
    <cacheField name="Resturant Name" numFmtId="0">
      <sharedItems/>
    </cacheField>
    <cacheField name="Location" numFmtId="0">
      <sharedItems/>
    </cacheField>
    <cacheField name="Category" numFmtId="0">
      <sharedItems/>
    </cacheField>
    <cacheField name="DishNmae" numFmtId="0">
      <sharedItems count="60">
        <s v="Butter Milk 200ml"/>
        <s v="Badam Milk"/>
        <s v="Chow Chow Bath"/>
        <s v="Kesari Bath"/>
        <s v="Mix Raita"/>
        <s v="Srinidhi Sagar Special"/>
        <s v="Garlic Naan"/>
        <s v="Pista"/>
        <s v="Paneer Butter Masala"/>
        <s v="Dal Tadka"/>
        <s v="Kaju Masala"/>
        <s v="Palak Paneer"/>
        <s v="Paneer Kofta"/>
        <s v="Paneer Burji"/>
        <s v="Paneer Shahi Kurma"/>
        <s v="Malai Kofta"/>
        <s v="Navratan Kurma"/>
        <s v="Mushroom Masala"/>
        <s v="Veg Kofta"/>
        <s v="Dum Aloo Kashmiri"/>
        <s v="Paneer Ghol"/>
        <s v="Stuffed Capsicum"/>
        <s v="Stuffed Tomato"/>
        <s v="Veg Do Pyaza"/>
        <s v="Veg Shahi Kurma"/>
        <s v="Mix Veg Curry"/>
        <s v="Veg Kheema"/>
        <s v="Veg Makhanwala"/>
        <s v="Chana Masala"/>
        <s v="Capsicum Masala"/>
        <s v="Baby Corn Masala"/>
        <s v="Paneer Mutter"/>
        <s v="Aloo Palak"/>
        <s v="Dal Palak"/>
        <s v="Jeera Rice"/>
        <s v="Veg Biryani"/>
        <s v="Curd Rice"/>
        <s v="Lemon Rice"/>
        <s v="Tomato Rice"/>
        <s v="Bisibele Bath"/>
        <s v="Masala Dosa"/>
        <s v="Plain Dosa"/>
        <s v="Onion Dosa"/>
        <s v="Rava Dosa"/>
        <s v="Set Dosa"/>
        <s v="Mysore Masala Dosa"/>
        <s v="Idli"/>
        <s v="Vada"/>
        <s v="Idli Vada Combo"/>
        <s v="Poori Bhaji"/>
        <s v="Upma"/>
        <s v="Pongal"/>
        <s v="Filter Coffee"/>
        <s v="Cold Coffee"/>
        <s v="Lassi"/>
        <s v="Sweet Lassi"/>
        <s v="Mango Shake"/>
        <s v="Chocolate Milkshake"/>
        <s v="Vanilla Milkshake"/>
        <s v="Strawberry Milkshake"/>
      </sharedItems>
    </cacheField>
    <cacheField name="Price" numFmtId="0">
      <sharedItems containsSemiMixedTypes="0" containsString="0" containsNumber="1" minValue="55" maxValue="2883.6363636363699"/>
    </cacheField>
    <cacheField name="Rating" numFmtId="0">
      <sharedItems containsSemiMixedTypes="0" containsString="0" containsNumber="1" minValue="4" maxValue="6.1263636363636396"/>
    </cacheField>
    <cacheField name="Rating count" numFmtId="0">
      <sharedItems containsSemiMixedTypes="0" containsString="0" containsNumber="1" minValue="15" maxValue="646.16363636363701"/>
    </cacheField>
    <cacheField name="Months" numFmtId="0" databaseField="0">
      <fieldGroup base="3">
        <rangePr groupBy="months" startDate="2025-01-04T00:00:00" endDate="2025-12-31T00:00:00"/>
        <groupItems count="14">
          <s v="&lt;04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74.807755671296" createdVersion="8" refreshedVersion="8" minRefreshableVersion="3" recordCount="149" xr:uid="{629C2869-6164-45B4-BC84-E568716DB499}">
  <cacheSource type="worksheet">
    <worksheetSource ref="K2:L151" sheet="Resturant Data"/>
  </cacheSource>
  <cacheFields count="2">
    <cacheField name="food +F2:I149+E2:I148e" numFmtId="0">
      <sharedItems count="2">
        <s v="Non Veg"/>
        <s v="Veg"/>
      </sharedItems>
    </cacheField>
    <cacheField name="Price" numFmtId="0">
      <sharedItems containsSemiMixedTypes="0" containsString="0" containsNumber="1" minValue="55" maxValue="2883.63636363636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74.91337858796" createdVersion="8" refreshedVersion="8" minRefreshableVersion="3" recordCount="149" xr:uid="{520CCDB9-D82F-404A-9360-9871005F3925}">
  <cacheSource type="worksheet">
    <worksheetSource ref="E2:L151" sheet="Resturant Data"/>
  </cacheSource>
  <cacheFields count="8">
    <cacheField name="Date" numFmtId="14">
      <sharedItems containsSemiMixedTypes="0" containsNonDate="0" containsDate="1" containsString="0" minDate="2025-01-04T00:00:00" maxDate="2025-12-31T00:00:00"/>
    </cacheField>
    <cacheField name="Day" numFmtId="14">
      <sharedItems count="7">
        <s v="Sunday"/>
        <s v="Tuesday"/>
        <s v="Thursday"/>
        <s v="Friday"/>
        <s v="Monday"/>
        <s v="Wednesday"/>
        <s v="Saturday"/>
      </sharedItems>
    </cacheField>
    <cacheField name="Resturant Name" numFmtId="0">
      <sharedItems/>
    </cacheField>
    <cacheField name="Location" numFmtId="0">
      <sharedItems/>
    </cacheField>
    <cacheField name="Category" numFmtId="0">
      <sharedItems/>
    </cacheField>
    <cacheField name="DishNmae" numFmtId="0">
      <sharedItems/>
    </cacheField>
    <cacheField name="food type" numFmtId="0">
      <sharedItems/>
    </cacheField>
    <cacheField name="Price" numFmtId="0">
      <sharedItems containsSemiMixedTypes="0" containsString="0" containsNumber="1" minValue="55" maxValue="2883.63636363636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74.950238657409" createdVersion="8" refreshedVersion="8" minRefreshableVersion="3" recordCount="149" xr:uid="{ADBE63BB-AE31-42C6-B142-D42125F8DA6E}">
  <cacheSource type="worksheet">
    <worksheetSource ref="B2:C151" sheet="Resturant Data"/>
  </cacheSource>
  <cacheFields count="2">
    <cacheField name="State" numFmtId="0">
      <sharedItems count="28">
        <s v="Andhra Pradesh"/>
        <s v="Arunachal Pradesh"/>
        <s v="Himachal Pradesh"/>
        <s v="Madhya Pradesh"/>
        <s v="Maharashtra"/>
        <s v="Manipur"/>
        <s v="Meghalaya"/>
        <s v="Mizoram"/>
        <s v="Telangana"/>
        <s v="Tripura"/>
        <s v="Uttar Pradesh"/>
        <s v="Chhattisgarh"/>
        <s v="Goa"/>
        <s v="Gujarat"/>
        <s v="Haryana"/>
        <s v="Jharkhand"/>
        <s v="Nagaland"/>
        <s v="Odisha"/>
        <s v="Punjab"/>
        <s v="Uttarakhand"/>
        <s v="West Bengal"/>
        <s v="Rajasthan"/>
        <s v="Sikkim"/>
        <s v="Tamil Nadu"/>
        <s v="Assam"/>
        <s v="Bihar"/>
        <s v="Karnataka"/>
        <s v="Kerala"/>
      </sharedItems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4.943083333332" backgroundQuery="1" createdVersion="8" refreshedVersion="8" minRefreshableVersion="3" recordCount="0" supportSubquery="1" supportAdvancedDrill="1" xr:uid="{87382556-19AD-4CFB-9C90-36DD69F6A717}">
  <cacheSource type="external" connectionId="1"/>
  <cacheFields count="5">
    <cacheField name="[Measures].[Count of Location]" caption="Count of Location" numFmtId="0" hierarchy="20" level="32767"/>
    <cacheField name="[Range].[Quarter].[Quarter]" caption="Quarter" numFmtId="0" hierarchy="3" level="1">
      <sharedItems count="4">
        <s v="Q1"/>
        <s v="Q2"/>
        <s v="Q3"/>
        <s v="Q4"/>
      </sharedItems>
    </cacheField>
    <cacheField name="[Measures].[Sum of Rating]" caption="Sum of Rating" numFmtId="0" hierarchy="22" level="32767"/>
    <cacheField name="[Measures].[Sum of Price]" caption="Sum of Price" numFmtId="0" hierarchy="23" level="32767"/>
    <cacheField name="[Measures].[Sum of Rating count]" caption="Sum of Rating count" numFmtId="0" hierarchy="24" level="32767"/>
  </cacheFields>
  <cacheHierarchies count="25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Quarter]" caption="Quarter" attribute="1" defaultMemberUniqueName="[Range].[Quarter].[All]" allUniqueName="[Range].[Quarter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Day]" caption="Day" attribute="1" defaultMemberUniqueName="[Range].[Day].[All]" allUniqueName="[Range].[Day].[All]" dimensionUniqueName="[Range]" displayFolder="" count="0" memberValueDatatype="130" unbalanced="0"/>
    <cacheHierarchy uniqueName="[Range].[Resturant Name]" caption="Resturant Name" attribute="1" defaultMemberUniqueName="[Range].[Resturant Name].[All]" allUniqueName="[Range].[Resturant Name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DishNmae]" caption="DishNmae" attribute="1" defaultMemberUniqueName="[Range].[DishNmae].[All]" allUniqueName="[Range].[DishNmae].[All]" dimensionUniqueName="[Range]" displayFolder="" count="0" memberValueDatatype="130" unbalanced="0"/>
    <cacheHierarchy uniqueName="[Range].[food type]" caption="food type" attribute="1" defaultMemberUniqueName="[Range].[food type].[All]" allUniqueName="[Range].[food type].[All]" dimensionUniqueName="[Range]" displayFolder="" count="0" memberValueDatatype="130" unbalanced="0"/>
    <cacheHierarchy uniqueName="[Range].[Price]" caption="Price" attribute="1" defaultMemberUniqueName="[Range].[Price].[All]" allUniqueName="[Range].[Price].[All]" dimensionUniqueName="[Range]" displayFolder="" count="0" memberValueDatatype="5" unbalanced="0"/>
    <cacheHierarchy uniqueName="[Range].[Rating]" caption="Rating" attribute="1" defaultMemberUniqueName="[Range].[Rating].[All]" allUniqueName="[Range].[Rating].[All]" dimensionUniqueName="[Range]" displayFolder="" count="0" memberValueDatatype="5" unbalanced="0"/>
    <cacheHierarchy uniqueName="[Range].[Rating count]" caption="Rating count" attribute="1" defaultMemberUniqueName="[Range].[Rating count].[All]" allUniqueName="[Range].[Rating count].[All]" dimensionUniqueName="[Range]" displayFolder="" count="0" memberValueDatatype="5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DishNmae]" caption="Sum of DishNma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Location]" caption="Count of Location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ategory]" caption="Sum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Rating]" caption="Sum of Rating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rice]" caption="Sum of Price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ating count]" caption="Sum of Rating count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4.950589351851" backgroundQuery="1" createdVersion="8" refreshedVersion="8" minRefreshableVersion="3" recordCount="0" supportSubquery="1" supportAdvancedDrill="1" xr:uid="{946285B8-7F8F-4D79-B61B-A6880F3CBE1C}">
  <cacheSource type="external" connectionId="1"/>
  <cacheFields count="2">
    <cacheField name="[Range 1].[State].[State]" caption="State" numFmtId="0" hierarchy="14" level="1">
      <sharedItems count="28">
        <s v="Andhra Pradesh"/>
        <s v="Arunachal Pradesh"/>
        <s v="Assam"/>
        <s v="Bihar"/>
        <s v="Chhattisgarh"/>
        <s v="Goa"/>
        <s v="Gujarat"/>
        <s v="Haryana"/>
        <s v="Himachal Pradesh"/>
        <s v="Jharkhand"/>
        <s v="Karnataka"/>
        <s v="Kerala"/>
        <s v="Madhya Pradesh"/>
        <s v="Maharashtra"/>
        <s v="Manipur"/>
        <s v="Meghalaya"/>
        <s v="Mizoram"/>
        <s v="Nagaland"/>
        <s v="Odisha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[Measures].[Sum of Price]" caption="Sum of Price" numFmtId="0" hierarchy="23" level="32767"/>
  </cacheFields>
  <cacheHierarchies count="25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Quarter]" caption="Quarter" attribute="1" defaultMemberUniqueName="[Range].[Quarter].[All]" allUniqueName="[Range].[Quarter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Day]" caption="Day" attribute="1" defaultMemberUniqueName="[Range].[Day].[All]" allUniqueName="[Range].[Day].[All]" dimensionUniqueName="[Range]" displayFolder="" count="0" memberValueDatatype="130" unbalanced="0"/>
    <cacheHierarchy uniqueName="[Range].[Resturant Name]" caption="Resturant Name" attribute="1" defaultMemberUniqueName="[Range].[Resturant Name].[All]" allUniqueName="[Range].[Resturant Name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DishNmae]" caption="DishNmae" attribute="1" defaultMemberUniqueName="[Range].[DishNmae].[All]" allUniqueName="[Range].[DishNmae].[All]" dimensionUniqueName="[Range]" displayFolder="" count="0" memberValueDatatype="130" unbalanced="0"/>
    <cacheHierarchy uniqueName="[Range].[food type]" caption="food type" attribute="1" defaultMemberUniqueName="[Range].[food type].[All]" allUniqueName="[Range].[food type].[All]" dimensionUniqueName="[Range]" displayFolder="" count="0" memberValueDatatype="130" unbalanced="0"/>
    <cacheHierarchy uniqueName="[Range].[Price]" caption="Price" attribute="1" defaultMemberUniqueName="[Range].[Price].[All]" allUniqueName="[Range].[Price].[All]" dimensionUniqueName="[Range]" displayFolder="" count="0" memberValueDatatype="5" unbalanced="0"/>
    <cacheHierarchy uniqueName="[Range].[Rating]" caption="Rating" attribute="1" defaultMemberUniqueName="[Range].[Rating].[All]" allUniqueName="[Range].[Rating].[All]" dimensionUniqueName="[Range]" displayFolder="" count="0" memberValueDatatype="5" unbalanced="0"/>
    <cacheHierarchy uniqueName="[Range].[Rating count]" caption="Rating count" attribute="1" defaultMemberUniqueName="[Range].[Rating count].[All]" allUniqueName="[Range].[Rating count].[All]" dimensionUniqueName="[Range]" displayFolder="" count="0" memberValueDatatype="5" unbalanced="0"/>
    <cacheHierarchy uniqueName="[Range 1].[State]" caption="State" attribute="1" defaultMemberUniqueName="[Range 1].[State].[All]" allUniqueName="[Range 1].[Stat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DishNmae]" caption="Sum of DishNma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Location]" caption="Count of Location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ategory]" caption="Sum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Rating]" caption="Sum of Rating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rice]" caption="Sum of 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ating count]" caption="Sum of Rating count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74.959865625002" createdVersion="8" refreshedVersion="8" minRefreshableVersion="3" recordCount="149" xr:uid="{43234AB7-EAC1-46C2-B110-66527B894A94}">
  <cacheSource type="worksheet">
    <worksheetSource ref="C2:L151" sheet="Resturant Data"/>
  </cacheSource>
  <cacheFields count="10">
    <cacheField name="City" numFmtId="0">
      <sharedItems count="101">
        <s v="Visakhapatnam"/>
        <s v="Vijayawada"/>
        <s v="Tirupati"/>
        <s v="Guntur"/>
        <s v="Kakinada"/>
        <s v="Nellore"/>
        <s v="Rajahmundry"/>
        <s v="Itanagar"/>
        <s v="Tawang"/>
        <s v="Pasighat"/>
        <s v="Bomdila"/>
        <s v="Ziro"/>
        <s v="Naharlagun"/>
        <s v="Roing"/>
        <s v="Shimla"/>
        <s v="Manali"/>
        <s v="Dharamshala"/>
        <s v="Mandi"/>
        <s v="Solan"/>
        <s v="Kullu"/>
        <s v="Bilaspur"/>
        <s v="Bhopal"/>
        <s v="Mumbai"/>
        <s v="Imphal"/>
        <s v="Shillong"/>
        <s v="Aizawl"/>
        <s v="Lunglei"/>
        <s v="Champhai"/>
        <s v="Kolasib"/>
        <s v="Serchhip"/>
        <s v="Saiha"/>
        <s v="Lawngtlai"/>
        <s v="Hyderabad"/>
        <s v="Warangal"/>
        <s v="Agartala"/>
        <s v="Lucknow"/>
        <s v="Kanpur"/>
        <s v="Varanasi"/>
        <s v="Prayagraj"/>
        <s v="Noida"/>
        <s v="Ghaziabad"/>
        <s v="Raipur"/>
        <s v="Panaji"/>
        <s v="Ahmedabad"/>
        <s v="Surat"/>
        <s v="Gurugram"/>
        <s v="Ranchi"/>
        <s v="Jamshedpur"/>
        <s v="Dhanbad"/>
        <s v="Bokaro"/>
        <s v="Deoghar"/>
        <s v="Hazaribagh"/>
        <s v="Kohima"/>
        <s v="Bhubaneswar"/>
        <s v="Ludhiana"/>
        <s v="Amritsar"/>
        <s v="Jalandhar"/>
        <s v="Patiala"/>
        <s v="Mohali"/>
        <s v="Bathinda"/>
        <s v="Dehradun"/>
        <s v="Kolkata"/>
        <s v="Jaipur"/>
        <s v="Gangtok"/>
        <s v="Chennai"/>
        <s v="Karimnagar"/>
        <s v="Nizamabad"/>
        <s v="Khammam"/>
        <s v="Guwahati"/>
        <s v="Patna"/>
        <s v="Bengaluru"/>
        <s v="Coimbatore"/>
        <s v="Madurai"/>
        <s v="Salem"/>
        <s v="Tiruchirappalli"/>
        <s v="Durg"/>
        <s v="Korba"/>
        <s v="Jagdalpur"/>
        <s v="Margao"/>
        <s v="Vasco da Gama"/>
        <s v="Mapusa"/>
        <s v="Ponda"/>
        <s v="Dibrugarh"/>
        <s v="Silchar"/>
        <s v="Jorhat"/>
        <s v="Tezpur"/>
        <s v="Nagaon"/>
        <s v="Dimapur"/>
        <s v="Mokokchung"/>
        <s v="Tuensang"/>
        <s v="Wokha"/>
        <s v="Zunheboto"/>
        <s v="Gaya"/>
        <s v="Muzaffarpur"/>
        <s v="Bhagalpur"/>
        <s v="Darbhanga"/>
        <s v="Purnia"/>
        <s v="Ara"/>
        <s v="Begusarai"/>
        <s v="Katihar"/>
        <s v="Sasaram"/>
      </sharedItems>
    </cacheField>
    <cacheField name="Quarter" numFmtId="0">
      <sharedItems/>
    </cacheField>
    <cacheField name="Date" numFmtId="14">
      <sharedItems containsSemiMixedTypes="0" containsNonDate="0" containsDate="1" containsString="0" minDate="2025-01-04T00:00:00" maxDate="2025-12-31T00:00:00"/>
    </cacheField>
    <cacheField name="Day" numFmtId="14">
      <sharedItems/>
    </cacheField>
    <cacheField name="Resturant Name" numFmtId="0">
      <sharedItems/>
    </cacheField>
    <cacheField name="Location" numFmtId="0">
      <sharedItems/>
    </cacheField>
    <cacheField name="Category" numFmtId="0">
      <sharedItems/>
    </cacheField>
    <cacheField name="DishNmae" numFmtId="0">
      <sharedItems/>
    </cacheField>
    <cacheField name="food type" numFmtId="0">
      <sharedItems/>
    </cacheField>
    <cacheField name="Price" numFmtId="0">
      <sharedItems containsSemiMixedTypes="0" containsString="0" containsNumber="1" minValue="55" maxValue="2883.63636363636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74.966323611108" createdVersion="8" refreshedVersion="8" minRefreshableVersion="3" recordCount="149" xr:uid="{C8C6FF05-18B1-43AB-A438-2ABF5A55949A}">
  <cacheSource type="worksheet">
    <worksheetSource ref="J2:L151" sheet="Resturant Data"/>
  </cacheSource>
  <cacheFields count="3">
    <cacheField name="DishNmae" numFmtId="0">
      <sharedItems count="51">
        <s v="Butter Chicken"/>
        <s v="Chicken Curry"/>
        <s v="Chicken Biryani"/>
        <s v="Chicken Tikka Masala"/>
        <s v="Chicken Korma"/>
        <s v="Chicken Fried Rice"/>
        <s v="Chicken Noodles"/>
        <s v="Chicken Lollipop"/>
        <s v="Chicken Manchurian"/>
        <s v="Chicken 65"/>
        <s v="Mutton Biryani"/>
        <s v="Mutton Curry"/>
        <s v="Mutton Kebab"/>
        <s v="Mutton Rogan Josh"/>
        <s v="Fish Curry"/>
        <s v="Fish Fry"/>
        <s v="Fish Biryani"/>
        <s v="Prawn Masala"/>
        <s v="Prawn Biryani"/>
        <s v="Egg Curry"/>
        <s v="Egg Bhurji"/>
        <s v="Egg Biryani"/>
        <s v="Paneer Butter Masala"/>
        <s v="Palak Paneer"/>
        <s v="Paneer Tikka Masala"/>
        <s v="Paneer Korma"/>
        <s v="Paneer Fried Rice"/>
        <s v="Hakka Noodles"/>
        <s v="Veg Lollipop"/>
        <s v="Veg Manchurian"/>
        <s v="Chilli Paneer"/>
        <s v="Veg Biryani"/>
        <s v="Dal Makhani"/>
        <s v="Paneer Kebab"/>
        <s v="Mushroom Masala"/>
        <s v="Veg Kurma"/>
        <s v="Chana Masala"/>
        <s v="Aloo Fry"/>
        <s v="Jeera Rice"/>
        <s v="Mix Veg Biryani"/>
        <s v="Veg Kofta"/>
        <s v="Veg Pulao"/>
        <s v="Eggless Curry"/>
        <s v="Paneer Bhurji"/>
        <s v="Kashmiri Pulao"/>
        <s v="Malai Kofta"/>
        <s v="Dal Fry"/>
        <s v="Navratan Korma"/>
        <s v="Mushroom Fried Rice"/>
        <s v="Veg Noodles"/>
        <s v="Crispy Corn"/>
      </sharedItems>
    </cacheField>
    <cacheField name="food type" numFmtId="0">
      <sharedItems/>
    </cacheField>
    <cacheField name="Price+J89J2:L141" numFmtId="0">
      <sharedItems containsSemiMixedTypes="0" containsString="0" containsNumber="1" minValue="55" maxValue="2883.63636363636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n v="1"/>
    <x v="0"/>
    <s v="Visakhapatnam"/>
    <x v="0"/>
    <s v="Srinidhi Sagar Deluxe"/>
    <s v="Kengeri"/>
    <s v="Snack"/>
    <x v="0"/>
    <n v="55"/>
    <n v="4.2"/>
    <n v="25"/>
  </r>
  <r>
    <n v="2"/>
    <x v="1"/>
    <s v="Vijayawada"/>
    <x v="1"/>
    <s v="Empire Restaurant"/>
    <s v="Whitefield"/>
    <s v="Recommended"/>
    <x v="1"/>
    <n v="65"/>
    <n v="4.5"/>
    <n v="48"/>
  </r>
  <r>
    <n v="3"/>
    <x v="1"/>
    <s v="Tirupati"/>
    <x v="2"/>
    <s v="Meghana Foods"/>
    <s v="Electronic City"/>
    <s v="Recommended"/>
    <x v="2"/>
    <n v="110"/>
    <n v="4.7"/>
    <n v="72"/>
  </r>
  <r>
    <n v="4"/>
    <x v="1"/>
    <s v="Guntur"/>
    <x v="3"/>
    <s v="Truffles"/>
    <s v="Koramangala"/>
    <s v="Recommended"/>
    <x v="3"/>
    <n v="75"/>
    <n v="4.0999999999999996"/>
    <n v="15"/>
  </r>
  <r>
    <n v="5"/>
    <x v="1"/>
    <s v="Kakinada"/>
    <x v="4"/>
    <s v="A2B Adyar Ananda Bhavan"/>
    <s v="Indiranagar"/>
    <s v="Recommended"/>
    <x v="4"/>
    <n v="130"/>
    <n v="4.4000000000000004"/>
    <n v="96"/>
  </r>
  <r>
    <n v="6"/>
    <x v="1"/>
    <s v="Nellore"/>
    <x v="5"/>
    <s v="Udupi Grand"/>
    <s v="Marathahalli"/>
    <s v="Recommended"/>
    <x v="5"/>
    <n v="310"/>
    <n v="4.8"/>
    <n v="134"/>
  </r>
  <r>
    <n v="7"/>
    <x v="1"/>
    <s v="Rajahmundry"/>
    <x v="6"/>
    <s v="Nandhana Palace"/>
    <s v="HSR Layout"/>
    <s v="Recommended"/>
    <x v="6"/>
    <n v="95"/>
    <n v="4.3"/>
    <n v="58"/>
  </r>
  <r>
    <n v="8"/>
    <x v="1"/>
    <s v="Itanagar"/>
    <x v="7"/>
    <s v="Sukh Sagar"/>
    <s v="Jayanagar"/>
    <s v="Recommended"/>
    <x v="7"/>
    <n v="140"/>
    <n v="4.5999999999999996"/>
    <n v="87"/>
  </r>
  <r>
    <n v="9"/>
    <x v="2"/>
    <s v="Tawang"/>
    <x v="8"/>
    <s v="The Filter Coffee"/>
    <s v="BTM Layout"/>
    <s v="North Indian Gravy"/>
    <x v="8"/>
    <n v="245"/>
    <n v="4"/>
    <n v="22"/>
  </r>
  <r>
    <n v="10"/>
    <x v="2"/>
    <s v="Pasighat"/>
    <x v="9"/>
    <s v="Brahmin's Coffee Bar"/>
    <s v="Rajajinagar"/>
    <s v="North Indian Gravy"/>
    <x v="9"/>
    <n v="190"/>
    <n v="4.5"/>
    <n v="65"/>
  </r>
  <r>
    <n v="11"/>
    <x v="2"/>
    <s v="Bomdila"/>
    <x v="10"/>
    <s v="MTR"/>
    <s v="Yelahanka"/>
    <s v="North Indian Gravy"/>
    <x v="10"/>
    <n v="275"/>
    <n v="4.7"/>
    <n v="110"/>
  </r>
  <r>
    <n v="12"/>
    <x v="2"/>
    <s v="Ziro"/>
    <x v="11"/>
    <s v="Corner House"/>
    <s v="Hebbal"/>
    <s v="North Indian Gravy"/>
    <x v="11"/>
    <n v="268.18181818181802"/>
    <n v="4.5072727272727304"/>
    <n v="91.036363636363603"/>
  </r>
  <r>
    <n v="13"/>
    <x v="3"/>
    <s v="Naharlagun"/>
    <x v="12"/>
    <s v="KFC"/>
    <s v="Banashankari"/>
    <s v="North Indian Gravy"/>
    <x v="12"/>
    <n v="287.27272727272702"/>
    <n v="4.5190909090909104"/>
    <n v="95.118181818181796"/>
  </r>
  <r>
    <n v="14"/>
    <x v="4"/>
    <s v="Roing"/>
    <x v="13"/>
    <s v="McDonald's"/>
    <s v="Malleshwaram"/>
    <s v="North Indian Gravy"/>
    <x v="13"/>
    <n v="306.36363636363598"/>
    <n v="4.5309090909090903"/>
    <n v="99.2"/>
  </r>
  <r>
    <n v="15"/>
    <x v="5"/>
    <s v="Shimla"/>
    <x v="14"/>
    <s v="Domino's Pizza"/>
    <s v="Bellandur"/>
    <s v="North Indian Gravy"/>
    <x v="14"/>
    <n v="325.45454545454498"/>
    <n v="4.5427272727272703"/>
    <n v="103.281818181818"/>
  </r>
  <r>
    <n v="16"/>
    <x v="6"/>
    <s v="Manali"/>
    <x v="15"/>
    <s v="Pizza Hut"/>
    <s v="Kengeri"/>
    <s v="South Indian"/>
    <x v="15"/>
    <n v="344.54545454545399"/>
    <n v="4.5545454545454502"/>
    <n v="107.363636363636"/>
  </r>
  <r>
    <n v="17"/>
    <x v="7"/>
    <s v="Dharamshala"/>
    <x v="16"/>
    <s v="Burger King"/>
    <s v="Whitefield"/>
    <s v="South Indian"/>
    <x v="16"/>
    <n v="363.636363636363"/>
    <n v="4.56636363636364"/>
    <n v="111.44545454545499"/>
  </r>
  <r>
    <n v="18"/>
    <x v="7"/>
    <s v="Mandi"/>
    <x v="17"/>
    <s v="Subway"/>
    <s v="Electronic City"/>
    <s v="South Indian"/>
    <x v="17"/>
    <n v="382.72727272727298"/>
    <n v="4.5781818181818199"/>
    <n v="115.527272727273"/>
  </r>
  <r>
    <n v="19"/>
    <x v="7"/>
    <s v="Solan"/>
    <x v="18"/>
    <s v="Barbeque Nation"/>
    <s v="Koramangala"/>
    <s v="South Indian"/>
    <x v="18"/>
    <n v="401.81818181818198"/>
    <n v="4.59"/>
    <n v="119.60909090909099"/>
  </r>
  <r>
    <n v="20"/>
    <x v="7"/>
    <s v="Kullu"/>
    <x v="19"/>
    <s v="Absolute Barbecues"/>
    <s v="Indiranagar"/>
    <s v="South Indian"/>
    <x v="19"/>
    <n v="420.90909090909099"/>
    <n v="4.6018181818181798"/>
    <n v="123.690909090909"/>
  </r>
  <r>
    <n v="21"/>
    <x v="7"/>
    <s v="Bilaspur"/>
    <x v="20"/>
    <s v="Srinidhi Sagar Deluxe"/>
    <s v="Marathahalli"/>
    <s v="Beverages"/>
    <x v="20"/>
    <n v="440"/>
    <n v="4.6136363636363598"/>
    <n v="127.772727272727"/>
  </r>
  <r>
    <n v="22"/>
    <x v="7"/>
    <s v="Bhopal"/>
    <x v="21"/>
    <s v="Empire Restaurant"/>
    <s v="HSR Layout"/>
    <s v="Beverages"/>
    <x v="21"/>
    <n v="459.09090909090901"/>
    <n v="4.6254545454545504"/>
    <n v="131.85454545454499"/>
  </r>
  <r>
    <n v="23"/>
    <x v="7"/>
    <s v="Mumbai"/>
    <x v="22"/>
    <s v="Meghana Foods"/>
    <s v="Jayanagar"/>
    <s v="Beverages"/>
    <x v="22"/>
    <n v="478.18181818181802"/>
    <n v="4.6372727272727303"/>
    <n v="135.93636363636401"/>
  </r>
  <r>
    <n v="24"/>
    <x v="8"/>
    <s v="Imphal"/>
    <x v="23"/>
    <s v="Truffles"/>
    <s v="BTM Layout"/>
    <s v="Dessert"/>
    <x v="23"/>
    <n v="497.27272727272702"/>
    <n v="4.6490909090909103"/>
    <n v="140.018181818182"/>
  </r>
  <r>
    <n v="25"/>
    <x v="9"/>
    <s v="Shillong"/>
    <x v="24"/>
    <s v="A2B Adyar Ananda Bhavan"/>
    <s v="Rajajinagar"/>
    <s v="Dessert"/>
    <x v="24"/>
    <n v="516.36363636363603"/>
    <n v="4.6609090909090902"/>
    <n v="144.1"/>
  </r>
  <r>
    <n v="26"/>
    <x v="10"/>
    <s v="Aizawl"/>
    <x v="25"/>
    <s v="Udupi Grand"/>
    <s v="Yelahanka"/>
    <s v="Dessert"/>
    <x v="25"/>
    <n v="535.45454545454504"/>
    <n v="4.6727272727272702"/>
    <n v="148.18181818181901"/>
  </r>
  <r>
    <n v="27"/>
    <x v="10"/>
    <s v="Lunglei"/>
    <x v="26"/>
    <s v="Nandhana Palace"/>
    <s v="Hebbal"/>
    <s v="Chinese"/>
    <x v="26"/>
    <n v="554.54545454545405"/>
    <n v="4.6845454545454501"/>
    <n v="152.263636363637"/>
  </r>
  <r>
    <n v="28"/>
    <x v="10"/>
    <s v="Champhai"/>
    <x v="27"/>
    <s v="Sukh Sagar"/>
    <s v="Banashankari"/>
    <s v="Chinese"/>
    <x v="27"/>
    <n v="573.63636363636294"/>
    <n v="4.6963636363636398"/>
    <n v="156.345454545455"/>
  </r>
  <r>
    <n v="29"/>
    <x v="10"/>
    <s v="Kolasib"/>
    <x v="28"/>
    <s v="The Filter Coffee"/>
    <s v="Malleshwaram"/>
    <s v="Chinese"/>
    <x v="28"/>
    <n v="592.72727272727298"/>
    <n v="4.7081818181818198"/>
    <n v="160.42727272727299"/>
  </r>
  <r>
    <n v="30"/>
    <x v="10"/>
    <s v="Serchhip"/>
    <x v="29"/>
    <s v="Brahmin's Coffee Bar"/>
    <s v="Bellandur"/>
    <s v="Chinese"/>
    <x v="29"/>
    <n v="611.81818181818198"/>
    <n v="4.72"/>
    <n v="164.50909090909099"/>
  </r>
  <r>
    <n v="31"/>
    <x v="10"/>
    <s v="Saiha"/>
    <x v="30"/>
    <s v="MTR"/>
    <s v="Kengeri"/>
    <s v="Snack"/>
    <x v="30"/>
    <n v="630.90909090909099"/>
    <n v="4.7318181818181797"/>
    <n v="168.59090909090901"/>
  </r>
  <r>
    <n v="32"/>
    <x v="10"/>
    <s v="Lawngtlai"/>
    <x v="31"/>
    <s v="Corner House"/>
    <s v="Whitefield"/>
    <s v="Recommended"/>
    <x v="31"/>
    <n v="650"/>
    <n v="4.7436363636363597"/>
    <n v="172.672727272728"/>
  </r>
  <r>
    <n v="33"/>
    <x v="11"/>
    <s v="Hyderabad"/>
    <x v="32"/>
    <s v="KFC"/>
    <s v="Electronic City"/>
    <s v="Recommended"/>
    <x v="32"/>
    <n v="669.09090909090901"/>
    <n v="4.7554545454545396"/>
    <n v="176.75454545454599"/>
  </r>
  <r>
    <n v="34"/>
    <x v="12"/>
    <s v="Warangal"/>
    <x v="33"/>
    <s v="McDonald's"/>
    <s v="Koramangala"/>
    <s v="Recommended"/>
    <x v="33"/>
    <n v="688.18181818181802"/>
    <n v="4.7672727272727302"/>
    <n v="180.83636363636401"/>
  </r>
  <r>
    <n v="35"/>
    <x v="13"/>
    <s v="Agartala"/>
    <x v="34"/>
    <s v="Domino's Pizza"/>
    <s v="Indiranagar"/>
    <s v="Recommended"/>
    <x v="34"/>
    <n v="707.27272727272702"/>
    <n v="4.7790909090909102"/>
    <n v="184.91818181818201"/>
  </r>
  <r>
    <n v="36"/>
    <x v="14"/>
    <s v="Lucknow"/>
    <x v="35"/>
    <s v="Pizza Hut"/>
    <s v="Marathahalli"/>
    <s v="Recommended"/>
    <x v="35"/>
    <n v="726.36363636363603"/>
    <n v="4.7909090909090901"/>
    <n v="189"/>
  </r>
  <r>
    <n v="37"/>
    <x v="2"/>
    <s v="Kanpur"/>
    <x v="36"/>
    <s v="Burger King"/>
    <s v="HSR Layout"/>
    <s v="North Indian Gravy"/>
    <x v="36"/>
    <n v="745.45454545454504"/>
    <n v="4.8027272727272701"/>
    <n v="193.08181818181899"/>
  </r>
  <r>
    <n v="38"/>
    <x v="15"/>
    <s v="Varanasi"/>
    <x v="37"/>
    <s v="Subway"/>
    <s v="Jayanagar"/>
    <s v="North Indian Gravy"/>
    <x v="37"/>
    <n v="764.54545454545405"/>
    <n v="4.81454545454545"/>
    <n v="197.16363636363701"/>
  </r>
  <r>
    <n v="39"/>
    <x v="15"/>
    <s v="Prayagraj"/>
    <x v="38"/>
    <s v="Barbeque Nation"/>
    <s v="BTM Layout"/>
    <s v="North Indian Gravy"/>
    <x v="38"/>
    <n v="783.63636363636294"/>
    <n v="4.8263636363636397"/>
    <n v="201.245454545455"/>
  </r>
  <r>
    <n v="40"/>
    <x v="15"/>
    <s v="Noida"/>
    <x v="39"/>
    <s v="Absolute Barbecues"/>
    <s v="Rajajinagar"/>
    <s v="North Indian Gravy"/>
    <x v="39"/>
    <n v="802.72727272727298"/>
    <n v="4.8381818181818197"/>
    <n v="205.327272727273"/>
  </r>
  <r>
    <n v="41"/>
    <x v="15"/>
    <s v="Ghaziabad"/>
    <x v="40"/>
    <s v="Srinidhi Sagar Deluxe"/>
    <s v="Yelahanka"/>
    <s v="South Indian"/>
    <x v="40"/>
    <n v="821.81818181818198"/>
    <n v="4.8499999999999996"/>
    <n v="209.40909090909099"/>
  </r>
  <r>
    <n v="42"/>
    <x v="15"/>
    <s v="Raipur"/>
    <x v="41"/>
    <s v="Empire Restaurant"/>
    <s v="Hebbal"/>
    <s v="South Indian"/>
    <x v="41"/>
    <n v="840.90909090909099"/>
    <n v="4.8618181818181796"/>
    <n v="213.49090909090901"/>
  </r>
  <r>
    <n v="43"/>
    <x v="15"/>
    <s v="Panaji"/>
    <x v="42"/>
    <s v="Meghana Foods"/>
    <s v="Banashankari"/>
    <s v="South Indian"/>
    <x v="42"/>
    <n v="860"/>
    <n v="4.8736363636363604"/>
    <n v="217.572727272728"/>
  </r>
  <r>
    <n v="44"/>
    <x v="15"/>
    <s v="Ahmedabad"/>
    <x v="43"/>
    <s v="Truffles"/>
    <s v="Malleshwaram"/>
    <s v="Beverages"/>
    <x v="43"/>
    <n v="879.09090909090901"/>
    <n v="4.8854545454545404"/>
    <n v="221.654545454546"/>
  </r>
  <r>
    <n v="45"/>
    <x v="7"/>
    <s v="Surat"/>
    <x v="44"/>
    <s v="A2B Adyar Ananda Bhavan"/>
    <s v="Bellandur"/>
    <s v="Beverages"/>
    <x v="44"/>
    <n v="898.18181818181802"/>
    <n v="4.8972727272727301"/>
    <n v="225.73636363636399"/>
  </r>
  <r>
    <n v="46"/>
    <x v="16"/>
    <s v="Gurugram"/>
    <x v="45"/>
    <s v="Udupi Grand"/>
    <s v="Kengeri"/>
    <s v="Dessert"/>
    <x v="45"/>
    <n v="917.27272727272702"/>
    <n v="4.9090909090909101"/>
    <n v="229.81818181818201"/>
  </r>
  <r>
    <n v="47"/>
    <x v="17"/>
    <s v="Shimla"/>
    <x v="46"/>
    <s v="Nandhana Palace"/>
    <s v="Whitefield"/>
    <s v="Dessert"/>
    <x v="46"/>
    <n v="936.36363636363603"/>
    <n v="4.92090909090909"/>
    <n v="233.9"/>
  </r>
  <r>
    <n v="48"/>
    <x v="18"/>
    <s v="Ranchi"/>
    <x v="47"/>
    <s v="Sukh Sagar"/>
    <s v="Electronic City"/>
    <s v="Chinese"/>
    <x v="47"/>
    <n v="955.45454545454504"/>
    <n v="4.93272727272727"/>
    <n v="237.98181818181899"/>
  </r>
  <r>
    <n v="49"/>
    <x v="18"/>
    <s v="Jamshedpur"/>
    <x v="48"/>
    <s v="The Filter Coffee"/>
    <s v="Koramangala"/>
    <s v="Chinese"/>
    <x v="48"/>
    <n v="974.54545454545405"/>
    <n v="4.9445454545454499"/>
    <n v="242.06363636363699"/>
  </r>
  <r>
    <n v="50"/>
    <x v="18"/>
    <s v="Dhanbad"/>
    <x v="49"/>
    <s v="Brahmin's Coffee Bar"/>
    <s v="Indiranagar"/>
    <s v="Snack"/>
    <x v="49"/>
    <n v="993.63636363636294"/>
    <n v="4.9563636363636396"/>
    <n v="246.14545454545501"/>
  </r>
  <r>
    <n v="51"/>
    <x v="18"/>
    <s v="Bokaro"/>
    <x v="0"/>
    <s v="MTR"/>
    <s v="Marathahalli"/>
    <s v="Recommended"/>
    <x v="50"/>
    <n v="1012.72727272727"/>
    <n v="4.9681818181818196"/>
    <n v="250.227272727273"/>
  </r>
  <r>
    <n v="52"/>
    <x v="18"/>
    <s v="Deoghar"/>
    <x v="1"/>
    <s v="Corner House"/>
    <s v="HSR Layout"/>
    <s v="Recommended"/>
    <x v="51"/>
    <n v="1031.8181818181799"/>
    <n v="4.9800000000000004"/>
    <n v="254.309090909091"/>
  </r>
  <r>
    <n v="53"/>
    <x v="18"/>
    <s v="Hazaribagh"/>
    <x v="2"/>
    <s v="KFC"/>
    <s v="Jayanagar"/>
    <s v="Recommended"/>
    <x v="52"/>
    <n v="1050.9090909090901"/>
    <n v="4.9918181818181804"/>
    <n v="258.39090909090902"/>
  </r>
  <r>
    <n v="54"/>
    <x v="10"/>
    <s v="Aizawl"/>
    <x v="3"/>
    <s v="McDonald's"/>
    <s v="BTM Layout"/>
    <s v="North Indian Gravy"/>
    <x v="53"/>
    <n v="1070"/>
    <n v="5.0036363636363603"/>
    <n v="262.47272727272798"/>
  </r>
  <r>
    <n v="55"/>
    <x v="19"/>
    <s v="Kohima"/>
    <x v="4"/>
    <s v="Domino's Pizza"/>
    <s v="Rajajinagar"/>
    <s v="North Indian Gravy"/>
    <x v="54"/>
    <n v="1089.0909090909099"/>
    <n v="5.0154545454545403"/>
    <n v="266.55454545454597"/>
  </r>
  <r>
    <n v="56"/>
    <x v="20"/>
    <s v="Bhubaneswar"/>
    <x v="5"/>
    <s v="Pizza Hut"/>
    <s v="Yelahanka"/>
    <s v="North Indian Gravy"/>
    <x v="55"/>
    <n v="1108.1818181818201"/>
    <n v="5.02727272727273"/>
    <n v="270.63636363636402"/>
  </r>
  <r>
    <n v="57"/>
    <x v="21"/>
    <s v="Ludhiana"/>
    <x v="6"/>
    <s v="Burger King"/>
    <s v="Hebbal"/>
    <s v="South Indian"/>
    <x v="56"/>
    <n v="1127.27272727273"/>
    <n v="5.03909090909091"/>
    <n v="274.71818181818202"/>
  </r>
  <r>
    <n v="58"/>
    <x v="22"/>
    <s v="Amritsar"/>
    <x v="7"/>
    <s v="Subway"/>
    <s v="Banashankari"/>
    <s v="South Indian"/>
    <x v="57"/>
    <n v="1146.3636363636399"/>
    <n v="5.0509090909090899"/>
    <n v="278.8"/>
  </r>
  <r>
    <n v="59"/>
    <x v="23"/>
    <s v="Jalandhar"/>
    <x v="8"/>
    <s v="Barbeque Nation"/>
    <s v="Malleshwaram"/>
    <s v="South Indian"/>
    <x v="58"/>
    <n v="1165.45454545455"/>
    <n v="5.0627272727272699"/>
    <n v="282.88181818181903"/>
  </r>
  <r>
    <n v="60"/>
    <x v="8"/>
    <s v="Patiala"/>
    <x v="9"/>
    <s v="Absolute Barbecues"/>
    <s v="Bellandur"/>
    <s v="Beverages"/>
    <x v="59"/>
    <n v="1184.54545454546"/>
    <n v="5.0745454545454498"/>
    <n v="286.96363636363702"/>
  </r>
  <r>
    <n v="61"/>
    <x v="8"/>
    <s v="Mohali"/>
    <x v="10"/>
    <s v="Srinidhi Sagar Deluxe"/>
    <s v="Kengeri"/>
    <s v="Beverages"/>
    <x v="0"/>
    <n v="1203.6363636363701"/>
    <n v="5.0863636363636404"/>
    <n v="291.04545454545502"/>
  </r>
  <r>
    <n v="62"/>
    <x v="8"/>
    <s v="Bathinda"/>
    <x v="11"/>
    <s v="Empire Restaurant"/>
    <s v="Whitefield"/>
    <s v="Dessert"/>
    <x v="1"/>
    <n v="1222.72727272727"/>
    <n v="5.0981818181818204"/>
    <n v="295.12727272727301"/>
  </r>
  <r>
    <n v="63"/>
    <x v="8"/>
    <s v="Lucknow"/>
    <x v="12"/>
    <s v="Meghana Foods"/>
    <s v="Electronic City"/>
    <s v="Dessert"/>
    <x v="2"/>
    <n v="1241.8181818181799"/>
    <n v="5.1100000000000003"/>
    <n v="299.209090909091"/>
  </r>
  <r>
    <n v="64"/>
    <x v="20"/>
    <s v="Dehradun"/>
    <x v="13"/>
    <s v="Truffles"/>
    <s v="Koramangala"/>
    <s v="Chinese"/>
    <x v="3"/>
    <n v="1260.9090909090901"/>
    <n v="5.1218181818181803"/>
    <n v="303.290909090909"/>
  </r>
  <r>
    <n v="65"/>
    <x v="0"/>
    <s v="Kolkata"/>
    <x v="14"/>
    <s v="A2B Adyar Ananda Bhavan"/>
    <s v="Indiranagar"/>
    <s v="Chinese"/>
    <x v="4"/>
    <n v="1280"/>
    <n v="5.1336363636363602"/>
    <n v="307.37272727272801"/>
  </r>
  <r>
    <n v="66"/>
    <x v="1"/>
    <s v="Jaipur"/>
    <x v="15"/>
    <s v="Udupi Grand"/>
    <s v="Marathahalli"/>
    <s v="Snack"/>
    <x v="5"/>
    <n v="1299.0909090909099"/>
    <n v="5.1454545454545402"/>
    <n v="311.45454545454601"/>
  </r>
  <r>
    <n v="67"/>
    <x v="24"/>
    <s v="Gangtok"/>
    <x v="16"/>
    <s v="Nandhana Palace"/>
    <s v="HSR Layout"/>
    <s v="Recommended"/>
    <x v="6"/>
    <n v="1318.1818181818201"/>
    <n v="5.1572727272727299"/>
    <n v="315.536363636364"/>
  </r>
  <r>
    <n v="68"/>
    <x v="25"/>
    <s v="Chennai"/>
    <x v="17"/>
    <s v="Sukh Sagar"/>
    <s v="Jayanagar"/>
    <s v="Recommended"/>
    <x v="7"/>
    <n v="1337.27272727273"/>
    <n v="5.1690909090909098"/>
    <n v="319.61818181818199"/>
  </r>
  <r>
    <n v="69"/>
    <x v="11"/>
    <s v="Hyderabad"/>
    <x v="18"/>
    <s v="The Filter Coffee"/>
    <s v="BTM Layout"/>
    <s v="Recommended"/>
    <x v="8"/>
    <n v="1356.3636363636399"/>
    <n v="5.1809090909090898"/>
    <n v="323.7"/>
  </r>
  <r>
    <n v="70"/>
    <x v="12"/>
    <s v="Karimnagar"/>
    <x v="19"/>
    <s v="Brahmin's Coffee Bar"/>
    <s v="Rajajinagar"/>
    <s v="Recommended"/>
    <x v="9"/>
    <n v="1375.45454545455"/>
    <n v="5.1927272727272697"/>
    <n v="327.78181818181901"/>
  </r>
  <r>
    <n v="71"/>
    <x v="12"/>
    <s v="Nizamabad"/>
    <x v="20"/>
    <s v="MTR"/>
    <s v="Yelahanka"/>
    <s v="North Indian Gravy"/>
    <x v="10"/>
    <n v="1394.54545454546"/>
    <n v="5.2045454545454497"/>
    <n v="331.863636363637"/>
  </r>
  <r>
    <n v="72"/>
    <x v="14"/>
    <s v="Khammam"/>
    <x v="21"/>
    <s v="Corner House"/>
    <s v="Hebbal"/>
    <s v="North Indian Gravy"/>
    <x v="11"/>
    <n v="1413.6363636363701"/>
    <n v="5.2163636363636297"/>
    <n v="335.94545454545499"/>
  </r>
  <r>
    <n v="73"/>
    <x v="2"/>
    <s v="Kolkata"/>
    <x v="22"/>
    <s v="KFC"/>
    <s v="Banashankari"/>
    <s v="North Indian Gravy"/>
    <x v="12"/>
    <n v="1432.72727272727"/>
    <n v="5.2281818181818203"/>
    <n v="340.02727272727299"/>
  </r>
  <r>
    <n v="74"/>
    <x v="2"/>
    <s v="Visakhapatnam"/>
    <x v="23"/>
    <s v="McDonald's"/>
    <s v="Malleshwaram"/>
    <s v="South Indian"/>
    <x v="13"/>
    <n v="1451.8181818181799"/>
    <n v="5.24"/>
    <n v="344.10909090909098"/>
  </r>
  <r>
    <n v="75"/>
    <x v="2"/>
    <s v="Itanagar"/>
    <x v="24"/>
    <s v="Domino's Pizza"/>
    <s v="Bellandur"/>
    <s v="South Indian"/>
    <x v="14"/>
    <n v="1470.9090909090901"/>
    <n v="5.2518181818181802"/>
    <n v="348.19090909090897"/>
  </r>
  <r>
    <n v="76"/>
    <x v="2"/>
    <s v="Guwahati"/>
    <x v="25"/>
    <s v="Pizza Hut"/>
    <s v="Kengeri"/>
    <s v="South Indian"/>
    <x v="15"/>
    <n v="1490"/>
    <n v="5.2636363636363601"/>
    <n v="352.27272727272799"/>
  </r>
  <r>
    <n v="77"/>
    <x v="21"/>
    <s v="Patna"/>
    <x v="26"/>
    <s v="Burger King"/>
    <s v="Whitefield"/>
    <s v="Beverages"/>
    <x v="16"/>
    <n v="1509.0909090909099"/>
    <n v="5.2754545454545401"/>
    <n v="356.35454545454598"/>
  </r>
  <r>
    <n v="78"/>
    <x v="22"/>
    <s v="Raipur"/>
    <x v="27"/>
    <s v="Subway"/>
    <s v="Electronic City"/>
    <s v="Beverages"/>
    <x v="17"/>
    <n v="1528.1818181818201"/>
    <n v="5.2872727272727298"/>
    <n v="360.43636363636398"/>
  </r>
  <r>
    <n v="79"/>
    <x v="23"/>
    <s v="Panaji"/>
    <x v="28"/>
    <s v="Barbeque Nation"/>
    <s v="Koramangala"/>
    <s v="Dessert"/>
    <x v="18"/>
    <n v="1547.27272727273"/>
    <n v="5.2990909090909097"/>
    <n v="364.51818181818197"/>
  </r>
  <r>
    <n v="80"/>
    <x v="8"/>
    <s v="Ahmedabad"/>
    <x v="29"/>
    <s v="Absolute Barbecues"/>
    <s v="Indiranagar"/>
    <s v="Dessert"/>
    <x v="19"/>
    <n v="1566.3636363636399"/>
    <n v="5.3109090909090897"/>
    <n v="368.6"/>
  </r>
  <r>
    <n v="81"/>
    <x v="9"/>
    <s v="Gurugram"/>
    <x v="30"/>
    <s v="Srinidhi Sagar Deluxe"/>
    <s v="Marathahalli"/>
    <s v="Chinese"/>
    <x v="20"/>
    <n v="1585.45454545455"/>
    <n v="5.3227272727272696"/>
    <n v="372.68181818181898"/>
  </r>
  <r>
    <n v="82"/>
    <x v="10"/>
    <s v="Shimla"/>
    <x v="31"/>
    <s v="Empire Restaurant"/>
    <s v="HSR Layout"/>
    <s v="Chinese"/>
    <x v="21"/>
    <n v="1604.54545454546"/>
    <n v="5.3345454545454496"/>
    <n v="376.76363636363698"/>
  </r>
  <r>
    <n v="83"/>
    <x v="19"/>
    <s v="Mandi"/>
    <x v="32"/>
    <s v="Meghana Foods"/>
    <s v="Jayanagar"/>
    <s v="Snack"/>
    <x v="22"/>
    <n v="1623.6363636363701"/>
    <n v="5.3463636363636304"/>
    <n v="380.84545454545503"/>
  </r>
  <r>
    <n v="84"/>
    <x v="20"/>
    <s v="Solan"/>
    <x v="33"/>
    <s v="Truffles"/>
    <s v="BTM Layout"/>
    <s v="Recommended"/>
    <x v="23"/>
    <n v="1642.72727272727"/>
    <n v="5.3581818181818202"/>
    <n v="384.92727272727302"/>
  </r>
  <r>
    <n v="85"/>
    <x v="0"/>
    <s v="Dharamshala"/>
    <x v="34"/>
    <s v="A2B Adyar Ananda Bhavan"/>
    <s v="Rajajinagar"/>
    <s v="Recommended"/>
    <x v="24"/>
    <n v="1661.8181818181799"/>
    <n v="5.37"/>
    <n v="389.00909090909101"/>
  </r>
  <r>
    <n v="86"/>
    <x v="1"/>
    <s v="Gangtok"/>
    <x v="35"/>
    <s v="Udupi Grand"/>
    <s v="Yelahanka"/>
    <s v="Recommended"/>
    <x v="25"/>
    <n v="1680.9090909090901"/>
    <n v="5.3818181818181801"/>
    <n v="393.09090909090901"/>
  </r>
  <r>
    <n v="87"/>
    <x v="24"/>
    <s v="Chennai"/>
    <x v="36"/>
    <s v="Nandhana Palace"/>
    <s v="Hebbal"/>
    <s v="North Indian Gravy"/>
    <x v="26"/>
    <n v="1700"/>
    <n v="5.3936363636363698"/>
    <n v="397.17272727272803"/>
  </r>
  <r>
    <n v="88"/>
    <x v="25"/>
    <s v="Hyderabad"/>
    <x v="37"/>
    <s v="Sukh Sagar"/>
    <s v="Banashankari"/>
    <s v="North Indian Gravy"/>
    <x v="27"/>
    <n v="1719.0909090909099"/>
    <n v="5.4054545454545497"/>
    <n v="401.25454545454602"/>
  </r>
  <r>
    <n v="89"/>
    <x v="11"/>
    <s v="Agartala"/>
    <x v="38"/>
    <s v="The Filter Coffee"/>
    <s v="Malleshwaram"/>
    <s v="North Indian Gravy"/>
    <x v="28"/>
    <n v="1738.1818181818201"/>
    <n v="5.4172727272727297"/>
    <n v="405.33636363636401"/>
  </r>
  <r>
    <n v="90"/>
    <x v="12"/>
    <s v="Lucknow"/>
    <x v="39"/>
    <s v="Brahmin's Coffee Bar"/>
    <s v="Bellandur"/>
    <s v="South Indian"/>
    <x v="29"/>
    <n v="1757.27272727273"/>
    <n v="5.4290909090909096"/>
    <n v="409.41818181818201"/>
  </r>
  <r>
    <n v="91"/>
    <x v="13"/>
    <s v="Dehradun"/>
    <x v="40"/>
    <s v="MTR"/>
    <s v="Kengeri"/>
    <s v="South Indian"/>
    <x v="30"/>
    <n v="1776.3636363636399"/>
    <n v="5.4409090909090896"/>
    <n v="413.5"/>
  </r>
  <r>
    <n v="92"/>
    <x v="14"/>
    <s v="Kolkata"/>
    <x v="41"/>
    <s v="Corner House"/>
    <s v="Whitefield"/>
    <s v="South Indian"/>
    <x v="31"/>
    <n v="1795.45454545455"/>
    <n v="5.4527272727272704"/>
    <n v="417.58181818181902"/>
  </r>
  <r>
    <n v="93"/>
    <x v="2"/>
    <s v="Visakhapatnam"/>
    <x v="42"/>
    <s v="KFC"/>
    <s v="Electronic City"/>
    <s v="Beverages"/>
    <x v="32"/>
    <n v="1814.54545454546"/>
    <n v="5.4645454545454601"/>
    <n v="421.66363636363701"/>
  </r>
  <r>
    <n v="94"/>
    <x v="15"/>
    <s v="Itanagar"/>
    <x v="43"/>
    <s v="McDonald's"/>
    <s v="Koramangala"/>
    <s v="Beverages"/>
    <x v="33"/>
    <n v="1833.6363636363701"/>
    <n v="5.4763636363636401"/>
    <n v="425.745454545455"/>
  </r>
  <r>
    <n v="95"/>
    <x v="26"/>
    <s v="Guwahati"/>
    <x v="44"/>
    <s v="Domino's Pizza"/>
    <s v="Indiranagar"/>
    <s v="Dessert"/>
    <x v="34"/>
    <n v="1852.72727272727"/>
    <n v="5.48818181818182"/>
    <n v="429.827272727273"/>
  </r>
  <r>
    <n v="96"/>
    <x v="27"/>
    <s v="Patna"/>
    <x v="45"/>
    <s v="Pizza Hut"/>
    <s v="Marathahalli"/>
    <s v="Dessert"/>
    <x v="35"/>
    <n v="1871.8181818181799"/>
    <n v="5.5"/>
    <n v="433.90909090909099"/>
  </r>
  <r>
    <n v="97"/>
    <x v="23"/>
    <s v="Raipur"/>
    <x v="46"/>
    <s v="Burger King"/>
    <s v="HSR Layout"/>
    <s v="Chinese"/>
    <x v="36"/>
    <n v="1890.9090909090901"/>
    <n v="5.51181818181818"/>
    <n v="437.99090909090899"/>
  </r>
  <r>
    <n v="98"/>
    <x v="23"/>
    <s v="Panaji"/>
    <x v="47"/>
    <s v="Subway"/>
    <s v="Jayanagar"/>
    <s v="Chinese"/>
    <x v="37"/>
    <n v="1910"/>
    <n v="5.5236363636363697"/>
    <n v="442.072727272728"/>
  </r>
  <r>
    <n v="99"/>
    <x v="23"/>
    <s v="Ahmedabad"/>
    <x v="48"/>
    <s v="Barbeque Nation"/>
    <s v="BTM Layout"/>
    <s v="Snack"/>
    <x v="38"/>
    <n v="1929.0909090909099"/>
    <n v="5.5354545454545496"/>
    <n v="446.154545454546"/>
  </r>
  <r>
    <n v="100"/>
    <x v="23"/>
    <s v="Gurugram"/>
    <x v="49"/>
    <s v="Absolute Barbecues"/>
    <s v="Rajajinagar"/>
    <s v="Recommended"/>
    <x v="39"/>
    <n v="1948.1818181818201"/>
    <n v="5.5472727272727296"/>
    <n v="450.23636363636399"/>
  </r>
  <r>
    <n v="101"/>
    <x v="23"/>
    <s v="Shimla"/>
    <x v="0"/>
    <s v="Srinidhi Sagar Deluxe"/>
    <s v="Yelahanka"/>
    <s v="Recommended"/>
    <x v="40"/>
    <n v="1967.27272727273"/>
    <n v="5.5590909090909104"/>
    <n v="454.31818181818198"/>
  </r>
  <r>
    <n v="102"/>
    <x v="11"/>
    <s v="Ranchi"/>
    <x v="1"/>
    <s v="Empire Restaurant"/>
    <s v="Hebbal"/>
    <s v="Recommended"/>
    <x v="41"/>
    <n v="1986.3636363636399"/>
    <n v="5.5709090909090904"/>
    <n v="458.4"/>
  </r>
  <r>
    <n v="103"/>
    <x v="11"/>
    <s v="Bengaluru"/>
    <x v="2"/>
    <s v="Meghana Foods"/>
    <s v="Banashankari"/>
    <s v="Recommended"/>
    <x v="42"/>
    <n v="2005.45454545455"/>
    <n v="5.5827272727272703"/>
    <n v="462.48181818181899"/>
  </r>
  <r>
    <n v="104"/>
    <x v="11"/>
    <s v="Chennai"/>
    <x v="3"/>
    <s v="Truffles"/>
    <s v="Malleshwaram"/>
    <s v="Recommended"/>
    <x v="43"/>
    <n v="2024.54545454546"/>
    <n v="5.59454545454546"/>
    <n v="466.56363636363699"/>
  </r>
  <r>
    <n v="105"/>
    <x v="11"/>
    <s v="Coimbatore"/>
    <x v="4"/>
    <s v="A2B Adyar Ananda Bhavan"/>
    <s v="Bellandur"/>
    <s v="North Indian Gravy"/>
    <x v="44"/>
    <n v="2043.6363636363701"/>
    <n v="5.60636363636364"/>
    <n v="470.64545454545498"/>
  </r>
  <r>
    <n v="106"/>
    <x v="11"/>
    <s v="Madurai"/>
    <x v="5"/>
    <s v="Udupi Grand"/>
    <s v="Kengeri"/>
    <s v="North Indian Gravy"/>
    <x v="45"/>
    <n v="2062.7272727272698"/>
    <n v="5.6181818181818199"/>
    <n v="474.72727272727298"/>
  </r>
  <r>
    <n v="107"/>
    <x v="11"/>
    <s v="Salem"/>
    <x v="6"/>
    <s v="Nandhana Palace"/>
    <s v="Whitefield"/>
    <s v="North Indian Gravy"/>
    <x v="46"/>
    <n v="2081.8181818181802"/>
    <n v="5.63"/>
    <n v="478.80909090909103"/>
  </r>
  <r>
    <n v="108"/>
    <x v="12"/>
    <s v="Tiruchirappalli"/>
    <x v="7"/>
    <s v="Sukh Sagar"/>
    <s v="Electronic City"/>
    <s v="North Indian Gravy"/>
    <x v="47"/>
    <n v="2100.9090909090901"/>
    <n v="5.6418181818181798"/>
    <n v="482.89090909090902"/>
  </r>
  <r>
    <n v="109"/>
    <x v="12"/>
    <s v="Raipur"/>
    <x v="8"/>
    <s v="The Filter Coffee"/>
    <s v="Koramangala"/>
    <s v="South Indian"/>
    <x v="48"/>
    <n v="2120"/>
    <n v="5.6536363636363696"/>
    <n v="486.97272727272798"/>
  </r>
  <r>
    <n v="110"/>
    <x v="12"/>
    <s v="Bilaspur"/>
    <x v="9"/>
    <s v="Brahmin's Coffee Bar"/>
    <s v="Indiranagar"/>
    <s v="South Indian"/>
    <x v="49"/>
    <n v="2139.0909090909099"/>
    <n v="5.6654545454545504"/>
    <n v="491.05454545454597"/>
  </r>
  <r>
    <n v="111"/>
    <x v="12"/>
    <s v="Durg"/>
    <x v="10"/>
    <s v="MTR"/>
    <s v="Marathahalli"/>
    <s v="South Indian"/>
    <x v="50"/>
    <n v="2158.1818181818198"/>
    <n v="5.6772727272727304"/>
    <n v="495.13636363636402"/>
  </r>
  <r>
    <n v="112"/>
    <x v="12"/>
    <s v="Korba"/>
    <x v="11"/>
    <s v="Corner House"/>
    <s v="HSR Layout"/>
    <s v="South Indian"/>
    <x v="51"/>
    <n v="2177.2727272727302"/>
    <n v="5.6890909090909103"/>
    <n v="499.21818181818202"/>
  </r>
  <r>
    <n v="113"/>
    <x v="12"/>
    <s v="Jagdalpur"/>
    <x v="12"/>
    <s v="KFC"/>
    <s v="Jayanagar"/>
    <s v="Beverages"/>
    <x v="52"/>
    <n v="2196.3636363636401"/>
    <n v="5.7009090909090903"/>
    <n v="503.3"/>
  </r>
  <r>
    <n v="114"/>
    <x v="24"/>
    <s v="Panaji"/>
    <x v="13"/>
    <s v="McDonald's"/>
    <s v="BTM Layout"/>
    <s v="Beverages"/>
    <x v="53"/>
    <n v="2215.45454545455"/>
    <n v="5.7127272727272702"/>
    <n v="507.38181818181903"/>
  </r>
  <r>
    <n v="115"/>
    <x v="24"/>
    <s v="Margao"/>
    <x v="14"/>
    <s v="Domino's Pizza"/>
    <s v="Rajajinagar"/>
    <s v="Dessert"/>
    <x v="54"/>
    <n v="2234.54545454546"/>
    <n v="5.7245454545454599"/>
    <n v="511.46363636363702"/>
  </r>
  <r>
    <n v="116"/>
    <x v="24"/>
    <s v="Vasco da Gama"/>
    <x v="15"/>
    <s v="Pizza Hut"/>
    <s v="Yelahanka"/>
    <s v="Dessert"/>
    <x v="55"/>
    <n v="2253.6363636363699"/>
    <n v="5.7363636363636399"/>
    <n v="515.54545454545496"/>
  </r>
  <r>
    <n v="117"/>
    <x v="24"/>
    <s v="Mapusa"/>
    <x v="16"/>
    <s v="Burger King"/>
    <s v="Hebbal"/>
    <s v="Chinese"/>
    <x v="56"/>
    <n v="2272.7272727272698"/>
    <n v="5.7481818181818198"/>
    <n v="519.62727272727295"/>
  </r>
  <r>
    <n v="118"/>
    <x v="24"/>
    <s v="Ponda"/>
    <x v="17"/>
    <s v="Subway"/>
    <s v="Banashankari"/>
    <s v="Chinese"/>
    <x v="57"/>
    <n v="2291.8181818181802"/>
    <n v="5.76"/>
    <n v="523.70909090909095"/>
  </r>
  <r>
    <n v="119"/>
    <x v="24"/>
    <s v="Guwahati"/>
    <x v="18"/>
    <s v="Barbeque Nation"/>
    <s v="Malleshwaram"/>
    <s v="Snack"/>
    <x v="58"/>
    <n v="2310.9090909090901"/>
    <n v="5.7718181818181797"/>
    <n v="527.79090909090905"/>
  </r>
  <r>
    <n v="120"/>
    <x v="24"/>
    <s v="Dibrugarh"/>
    <x v="19"/>
    <s v="Absolute Barbecues"/>
    <s v="Bellandur"/>
    <s v="Recommended"/>
    <x v="59"/>
    <n v="2330"/>
    <n v="5.7836363636363597"/>
    <n v="531.87272727272796"/>
  </r>
  <r>
    <n v="121"/>
    <x v="24"/>
    <s v="Silchar"/>
    <x v="20"/>
    <s v="Srinidhi Sagar Deluxe"/>
    <s v="Kengeri"/>
    <s v="Recommended"/>
    <x v="8"/>
    <n v="2349.0909090909099"/>
    <n v="5.7954545454545503"/>
    <n v="535.95454545454595"/>
  </r>
  <r>
    <n v="122"/>
    <x v="7"/>
    <s v="Jorhat"/>
    <x v="21"/>
    <s v="Empire Restaurant"/>
    <s v="Whitefield"/>
    <s v="Recommended"/>
    <x v="9"/>
    <n v="2368.1818181818198"/>
    <n v="5.8072727272727303"/>
    <n v="540.03636363636394"/>
  </r>
  <r>
    <n v="123"/>
    <x v="7"/>
    <s v="Tezpur"/>
    <x v="22"/>
    <s v="Meghana Foods"/>
    <s v="Electronic City"/>
    <s v="North Indian Gravy"/>
    <x v="11"/>
    <n v="2387.2727272727302"/>
    <n v="5.8190909090909102"/>
    <n v="544.11818181818205"/>
  </r>
  <r>
    <n v="124"/>
    <x v="7"/>
    <s v="Nagaon"/>
    <x v="23"/>
    <s v="Truffles"/>
    <s v="Koramangala"/>
    <s v="North Indian Gravy"/>
    <x v="15"/>
    <n v="2406.3636363636401"/>
    <n v="5.8309090909090902"/>
    <n v="548.20000000000005"/>
  </r>
  <r>
    <n v="125"/>
    <x v="7"/>
    <s v="Aizawl"/>
    <x v="24"/>
    <s v="A2B Adyar Ananda Bhavan"/>
    <s v="Indiranagar"/>
    <s v="South Indian"/>
    <x v="35"/>
    <n v="2425.45454545455"/>
    <n v="5.8427272727272701"/>
    <n v="552.28181818181895"/>
  </r>
  <r>
    <n v="126"/>
    <x v="7"/>
    <s v="Lunglei"/>
    <x v="25"/>
    <s v="Udupi Grand"/>
    <s v="Marathahalli"/>
    <s v="South Indian"/>
    <x v="40"/>
    <n v="2444.54545454546"/>
    <n v="5.8545454545454598"/>
    <n v="556.36363636363706"/>
  </r>
  <r>
    <n v="127"/>
    <x v="7"/>
    <s v="Champhai"/>
    <x v="26"/>
    <s v="Nandhana Palace"/>
    <s v="HSR Layout"/>
    <s v="Beverages"/>
    <x v="43"/>
    <n v="2463.6363636363699"/>
    <n v="5.8663636363636398"/>
    <n v="560.44545454545505"/>
  </r>
  <r>
    <n v="128"/>
    <x v="7"/>
    <s v="Kolasib"/>
    <x v="27"/>
    <s v="Sukh Sagar"/>
    <s v="Jayanagar"/>
    <s v="Dessert"/>
    <x v="46"/>
    <n v="2482.7272727272698"/>
    <n v="5.8781818181818197"/>
    <n v="564.52727272727304"/>
  </r>
  <r>
    <n v="129"/>
    <x v="16"/>
    <s v="Serchhip"/>
    <x v="28"/>
    <s v="The Filter Coffee"/>
    <s v="BTM Layout"/>
    <s v="Chinese"/>
    <x v="47"/>
    <n v="2501.8181818181802"/>
    <n v="5.89"/>
    <n v="568.60909090909104"/>
  </r>
  <r>
    <n v="130"/>
    <x v="16"/>
    <s v="Saiha"/>
    <x v="29"/>
    <s v="Brahmin's Coffee Bar"/>
    <s v="Rajajinagar"/>
    <s v="Snack"/>
    <x v="52"/>
    <n v="2520.9090909090901"/>
    <n v="5.9018181818181796"/>
    <n v="572.69090909091005"/>
  </r>
  <r>
    <n v="131"/>
    <x v="16"/>
    <s v="Kohima"/>
    <x v="30"/>
    <s v="MTR"/>
    <s v="Yelahanka"/>
    <s v="Recommended"/>
    <x v="0"/>
    <n v="2540"/>
    <n v="5.9136363636363596"/>
    <n v="576.77272727272805"/>
  </r>
  <r>
    <n v="132"/>
    <x v="16"/>
    <s v="Dimapur"/>
    <x v="31"/>
    <s v="Corner House"/>
    <s v="Hebbal"/>
    <s v="Recommended"/>
    <x v="28"/>
    <n v="2559.0909090909099"/>
    <n v="5.9254545454545502"/>
    <n v="580.85454545454604"/>
  </r>
  <r>
    <n v="133"/>
    <x v="16"/>
    <s v="Mokokchung"/>
    <x v="32"/>
    <s v="KFC"/>
    <s v="Banashankari"/>
    <s v="North Indian Gravy"/>
    <x v="18"/>
    <n v="2578.1818181818198"/>
    <n v="5.9372727272727301"/>
    <n v="584.93636363636404"/>
  </r>
  <r>
    <n v="134"/>
    <x v="16"/>
    <s v="Tuensang"/>
    <x v="33"/>
    <s v="McDonald's"/>
    <s v="Malleshwaram"/>
    <s v="North Indian Gravy"/>
    <x v="17"/>
    <n v="2597.2727272727302"/>
    <n v="5.9490909090909101"/>
    <n v="589.01818181818203"/>
  </r>
  <r>
    <n v="135"/>
    <x v="16"/>
    <s v="Wokha"/>
    <x v="34"/>
    <s v="Domino's Pizza"/>
    <s v="Bellandur"/>
    <s v="South Indian"/>
    <x v="34"/>
    <n v="2616.3636363636401"/>
    <n v="5.96090909090909"/>
    <n v="593.1"/>
  </r>
  <r>
    <n v="136"/>
    <x v="16"/>
    <s v="Zunheboto"/>
    <x v="35"/>
    <s v="Pizza Hut"/>
    <s v="Kengeri"/>
    <s v="South Indian"/>
    <x v="36"/>
    <n v="2635.45454545455"/>
    <n v="5.97272727272727"/>
    <n v="597.18181818181904"/>
  </r>
  <r>
    <n v="137"/>
    <x v="25"/>
    <s v="Patna"/>
    <x v="36"/>
    <s v="Burger King"/>
    <s v="Whitefield"/>
    <s v="Beverages"/>
    <x v="37"/>
    <n v="2654.54545454546"/>
    <n v="5.9845454545454597"/>
    <n v="601.26363636363703"/>
  </r>
  <r>
    <n v="138"/>
    <x v="25"/>
    <s v="Gaya"/>
    <x v="37"/>
    <s v="Subway"/>
    <s v="Electronic City"/>
    <s v="Dessert"/>
    <x v="38"/>
    <n v="2673.6363636363699"/>
    <n v="5.9963636363636397"/>
    <n v="605.34545454545503"/>
  </r>
  <r>
    <n v="139"/>
    <x v="25"/>
    <s v="Muzaffarpur"/>
    <x v="38"/>
    <s v="Barbeque Nation"/>
    <s v="Koramangala"/>
    <s v="Chinese"/>
    <x v="49"/>
    <n v="2692.7272727272698"/>
    <n v="6.0081818181818196"/>
    <n v="609.42727272727302"/>
  </r>
  <r>
    <n v="140"/>
    <x v="25"/>
    <s v="Bhagalpur"/>
    <x v="39"/>
    <s v="Absolute Barbecues"/>
    <s v="Indiranagar"/>
    <s v="Snack"/>
    <x v="50"/>
    <n v="2711.8181818181802"/>
    <n v="6.02"/>
    <n v="613.50909090909101"/>
  </r>
  <r>
    <n v="141"/>
    <x v="25"/>
    <s v="Darbhanga"/>
    <x v="40"/>
    <s v="Srinidhi Sagar Deluxe"/>
    <s v="Marathahalli"/>
    <s v="Recommended"/>
    <x v="51"/>
    <n v="2730.9090909090901"/>
    <n v="6.0318181818181804"/>
    <n v="617.59090909090901"/>
  </r>
  <r>
    <n v="142"/>
    <x v="25"/>
    <s v="Purnia"/>
    <x v="41"/>
    <s v="Empire Restaurant"/>
    <s v="HSR Layout"/>
    <s v="Recommended"/>
    <x v="43"/>
    <n v="2750"/>
    <n v="6.0436363636363604"/>
    <n v="621.67272727272803"/>
  </r>
  <r>
    <n v="143"/>
    <x v="25"/>
    <s v="Ara"/>
    <x v="42"/>
    <s v="Meghana Foods"/>
    <s v="Jayanagar"/>
    <s v="North Indian Gravy"/>
    <x v="46"/>
    <n v="2769.0909090909099"/>
    <n v="6.0554545454545501"/>
    <n v="625.75454545454602"/>
  </r>
  <r>
    <n v="144"/>
    <x v="25"/>
    <s v="Begusarai"/>
    <x v="43"/>
    <s v="Truffles"/>
    <s v="BTM Layout"/>
    <s v="North Indian Gravy"/>
    <x v="47"/>
    <n v="2788.1818181818198"/>
    <n v="6.06727272727273"/>
    <n v="629.83636363636401"/>
  </r>
  <r>
    <n v="145"/>
    <x v="25"/>
    <s v="Katihar"/>
    <x v="44"/>
    <s v="A2B Adyar Ananda Bhavan"/>
    <s v="Rajajinagar"/>
    <s v="South Indian"/>
    <x v="52"/>
    <n v="2807.2727272727302"/>
    <n v="6.07909090909091"/>
    <n v="633.91818181818201"/>
  </r>
  <r>
    <n v="146"/>
    <x v="25"/>
    <s v="Sasaram"/>
    <x v="45"/>
    <s v="Udupi Grand"/>
    <s v="Yelahanka"/>
    <s v="South Indian"/>
    <x v="0"/>
    <n v="2826.3636363636401"/>
    <n v="6.0909090909090899"/>
    <n v="638"/>
  </r>
  <r>
    <n v="147"/>
    <x v="25"/>
    <s v="Sasaram"/>
    <x v="46"/>
    <s v="Nandhana Palace"/>
    <s v="Hebbal"/>
    <s v="Beverages"/>
    <x v="28"/>
    <n v="2845.45454545455"/>
    <n v="6.1027272727272699"/>
    <n v="642.08181818181902"/>
  </r>
  <r>
    <n v="148"/>
    <x v="25"/>
    <s v="Sasaram"/>
    <x v="47"/>
    <s v="Sukh Sagar"/>
    <s v="Banashankari"/>
    <s v="Dessert"/>
    <x v="18"/>
    <n v="2864.54545454546"/>
    <n v="6.1145454545454596"/>
    <n v="646.16363636363701"/>
  </r>
  <r>
    <n v="149"/>
    <x v="25"/>
    <s v="Sasaram"/>
    <x v="48"/>
    <s v="The Filter Coffee"/>
    <s v="Malleshwaram"/>
    <s v="Dessert"/>
    <x v="17"/>
    <n v="2883.6363636363699"/>
    <n v="6.1263636363636396"/>
    <n v="423.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  <n v="55"/>
  </r>
  <r>
    <x v="0"/>
    <n v="65"/>
  </r>
  <r>
    <x v="0"/>
    <n v="110"/>
  </r>
  <r>
    <x v="0"/>
    <n v="75"/>
  </r>
  <r>
    <x v="0"/>
    <n v="130"/>
  </r>
  <r>
    <x v="0"/>
    <n v="310"/>
  </r>
  <r>
    <x v="0"/>
    <n v="95"/>
  </r>
  <r>
    <x v="0"/>
    <n v="140"/>
  </r>
  <r>
    <x v="0"/>
    <n v="245"/>
  </r>
  <r>
    <x v="0"/>
    <n v="190"/>
  </r>
  <r>
    <x v="0"/>
    <n v="275"/>
  </r>
  <r>
    <x v="0"/>
    <n v="268.18181818181802"/>
  </r>
  <r>
    <x v="0"/>
    <n v="287.27272727272702"/>
  </r>
  <r>
    <x v="0"/>
    <n v="306.36363636363598"/>
  </r>
  <r>
    <x v="0"/>
    <n v="325.45454545454498"/>
  </r>
  <r>
    <x v="0"/>
    <n v="344.54545454545399"/>
  </r>
  <r>
    <x v="0"/>
    <n v="363.636363636363"/>
  </r>
  <r>
    <x v="0"/>
    <n v="382.72727272727298"/>
  </r>
  <r>
    <x v="0"/>
    <n v="401.81818181818198"/>
  </r>
  <r>
    <x v="0"/>
    <n v="420.90909090909099"/>
  </r>
  <r>
    <x v="0"/>
    <n v="440"/>
  </r>
  <r>
    <x v="0"/>
    <n v="459.09090909090901"/>
  </r>
  <r>
    <x v="0"/>
    <n v="478.18181818181802"/>
  </r>
  <r>
    <x v="0"/>
    <n v="497.27272727272702"/>
  </r>
  <r>
    <x v="0"/>
    <n v="516.36363636363603"/>
  </r>
  <r>
    <x v="0"/>
    <n v="535.45454545454504"/>
  </r>
  <r>
    <x v="0"/>
    <n v="554.54545454545405"/>
  </r>
  <r>
    <x v="0"/>
    <n v="573.63636363636294"/>
  </r>
  <r>
    <x v="0"/>
    <n v="592.72727272727298"/>
  </r>
  <r>
    <x v="0"/>
    <n v="611.81818181818198"/>
  </r>
  <r>
    <x v="0"/>
    <n v="630.90909090909099"/>
  </r>
  <r>
    <x v="0"/>
    <n v="650"/>
  </r>
  <r>
    <x v="0"/>
    <n v="669.09090909090901"/>
  </r>
  <r>
    <x v="0"/>
    <n v="688.18181818181802"/>
  </r>
  <r>
    <x v="0"/>
    <n v="707.27272727272702"/>
  </r>
  <r>
    <x v="0"/>
    <n v="726.36363636363603"/>
  </r>
  <r>
    <x v="0"/>
    <n v="745.45454545454504"/>
  </r>
  <r>
    <x v="0"/>
    <n v="764.54545454545405"/>
  </r>
  <r>
    <x v="0"/>
    <n v="783.63636363636294"/>
  </r>
  <r>
    <x v="0"/>
    <n v="802.72727272727298"/>
  </r>
  <r>
    <x v="0"/>
    <n v="821.81818181818198"/>
  </r>
  <r>
    <x v="0"/>
    <n v="840.90909090909099"/>
  </r>
  <r>
    <x v="0"/>
    <n v="860"/>
  </r>
  <r>
    <x v="0"/>
    <n v="879.09090909090901"/>
  </r>
  <r>
    <x v="0"/>
    <n v="898.18181818181802"/>
  </r>
  <r>
    <x v="0"/>
    <n v="917.27272727272702"/>
  </r>
  <r>
    <x v="0"/>
    <n v="936.36363636363603"/>
  </r>
  <r>
    <x v="0"/>
    <n v="955.45454545454504"/>
  </r>
  <r>
    <x v="0"/>
    <n v="974.54545454545405"/>
  </r>
  <r>
    <x v="0"/>
    <n v="993.63636363636294"/>
  </r>
  <r>
    <x v="0"/>
    <n v="1012.72727272727"/>
  </r>
  <r>
    <x v="0"/>
    <n v="1031.8181818181799"/>
  </r>
  <r>
    <x v="0"/>
    <n v="1050.9090909090901"/>
  </r>
  <r>
    <x v="0"/>
    <n v="1070"/>
  </r>
  <r>
    <x v="0"/>
    <n v="1089.0909090909099"/>
  </r>
  <r>
    <x v="0"/>
    <n v="1108.1818181818201"/>
  </r>
  <r>
    <x v="0"/>
    <n v="1127.27272727273"/>
  </r>
  <r>
    <x v="0"/>
    <n v="1146.3636363636399"/>
  </r>
  <r>
    <x v="0"/>
    <n v="1165.45454545455"/>
  </r>
  <r>
    <x v="0"/>
    <n v="1184.54545454546"/>
  </r>
  <r>
    <x v="0"/>
    <n v="1203.6363636363701"/>
  </r>
  <r>
    <x v="0"/>
    <n v="1222.72727272727"/>
  </r>
  <r>
    <x v="0"/>
    <n v="1241.8181818181799"/>
  </r>
  <r>
    <x v="0"/>
    <n v="1260.9090909090901"/>
  </r>
  <r>
    <x v="0"/>
    <n v="1280"/>
  </r>
  <r>
    <x v="0"/>
    <n v="1299.0909090909099"/>
  </r>
  <r>
    <x v="0"/>
    <n v="1318.1818181818201"/>
  </r>
  <r>
    <x v="0"/>
    <n v="1337.27272727273"/>
  </r>
  <r>
    <x v="0"/>
    <n v="1356.3636363636399"/>
  </r>
  <r>
    <x v="0"/>
    <n v="1375.45454545455"/>
  </r>
  <r>
    <x v="0"/>
    <n v="1394.54545454546"/>
  </r>
  <r>
    <x v="0"/>
    <n v="1413.6363636363701"/>
  </r>
  <r>
    <x v="0"/>
    <n v="1432.72727272727"/>
  </r>
  <r>
    <x v="0"/>
    <n v="1451.8181818181799"/>
  </r>
  <r>
    <x v="0"/>
    <n v="1470.9090909090901"/>
  </r>
  <r>
    <x v="0"/>
    <n v="1490"/>
  </r>
  <r>
    <x v="0"/>
    <n v="1509.0909090909099"/>
  </r>
  <r>
    <x v="0"/>
    <n v="1528.1818181818201"/>
  </r>
  <r>
    <x v="0"/>
    <n v="1547.27272727273"/>
  </r>
  <r>
    <x v="0"/>
    <n v="1566.3636363636399"/>
  </r>
  <r>
    <x v="0"/>
    <n v="1585.45454545455"/>
  </r>
  <r>
    <x v="0"/>
    <n v="1604.54545454546"/>
  </r>
  <r>
    <x v="0"/>
    <n v="1623.6363636363701"/>
  </r>
  <r>
    <x v="0"/>
    <n v="1642.72727272727"/>
  </r>
  <r>
    <x v="0"/>
    <n v="1661.8181818181799"/>
  </r>
  <r>
    <x v="0"/>
    <n v="1680.9090909090901"/>
  </r>
  <r>
    <x v="0"/>
    <n v="1700"/>
  </r>
  <r>
    <x v="0"/>
    <n v="1719.0909090909099"/>
  </r>
  <r>
    <x v="0"/>
    <n v="1738.1818181818201"/>
  </r>
  <r>
    <x v="0"/>
    <n v="1757.27272727273"/>
  </r>
  <r>
    <x v="0"/>
    <n v="1776.3636363636399"/>
  </r>
  <r>
    <x v="0"/>
    <n v="1795.45454545455"/>
  </r>
  <r>
    <x v="0"/>
    <n v="1814.54545454546"/>
  </r>
  <r>
    <x v="0"/>
    <n v="1833.6363636363701"/>
  </r>
  <r>
    <x v="0"/>
    <n v="1852.72727272727"/>
  </r>
  <r>
    <x v="0"/>
    <n v="1871.8181818181799"/>
  </r>
  <r>
    <x v="0"/>
    <n v="1890.9090909090901"/>
  </r>
  <r>
    <x v="0"/>
    <n v="1910"/>
  </r>
  <r>
    <x v="0"/>
    <n v="1929.0909090909099"/>
  </r>
  <r>
    <x v="0"/>
    <n v="1948.1818181818201"/>
  </r>
  <r>
    <x v="0"/>
    <n v="1967.27272727273"/>
  </r>
  <r>
    <x v="0"/>
    <n v="1986.3636363636399"/>
  </r>
  <r>
    <x v="0"/>
    <n v="2005.45454545455"/>
  </r>
  <r>
    <x v="0"/>
    <n v="2024.54545454546"/>
  </r>
  <r>
    <x v="0"/>
    <n v="2043.6363636363701"/>
  </r>
  <r>
    <x v="0"/>
    <n v="2062.7272727272698"/>
  </r>
  <r>
    <x v="0"/>
    <n v="2081.8181818181802"/>
  </r>
  <r>
    <x v="0"/>
    <n v="2100.9090909090901"/>
  </r>
  <r>
    <x v="0"/>
    <n v="2120"/>
  </r>
  <r>
    <x v="0"/>
    <n v="2139.0909090909099"/>
  </r>
  <r>
    <x v="0"/>
    <n v="2158.1818181818198"/>
  </r>
  <r>
    <x v="0"/>
    <n v="2177.2727272727302"/>
  </r>
  <r>
    <x v="0"/>
    <n v="2196.3636363636401"/>
  </r>
  <r>
    <x v="0"/>
    <n v="2215.45454545455"/>
  </r>
  <r>
    <x v="0"/>
    <n v="2234.54545454546"/>
  </r>
  <r>
    <x v="0"/>
    <n v="2253.6363636363699"/>
  </r>
  <r>
    <x v="0"/>
    <n v="2272.7272727272698"/>
  </r>
  <r>
    <x v="0"/>
    <n v="2291.8181818181802"/>
  </r>
  <r>
    <x v="1"/>
    <n v="2310.9090909090901"/>
  </r>
  <r>
    <x v="1"/>
    <n v="2330"/>
  </r>
  <r>
    <x v="1"/>
    <n v="2349.0909090909099"/>
  </r>
  <r>
    <x v="1"/>
    <n v="2368.1818181818198"/>
  </r>
  <r>
    <x v="1"/>
    <n v="2387.2727272727302"/>
  </r>
  <r>
    <x v="1"/>
    <n v="2406.3636363636401"/>
  </r>
  <r>
    <x v="1"/>
    <n v="2425.45454545455"/>
  </r>
  <r>
    <x v="1"/>
    <n v="2444.54545454546"/>
  </r>
  <r>
    <x v="1"/>
    <n v="2463.6363636363699"/>
  </r>
  <r>
    <x v="1"/>
    <n v="2482.7272727272698"/>
  </r>
  <r>
    <x v="1"/>
    <n v="2501.8181818181802"/>
  </r>
  <r>
    <x v="1"/>
    <n v="2520.9090909090901"/>
  </r>
  <r>
    <x v="1"/>
    <n v="2540"/>
  </r>
  <r>
    <x v="1"/>
    <n v="2559.0909090909099"/>
  </r>
  <r>
    <x v="1"/>
    <n v="2578.1818181818198"/>
  </r>
  <r>
    <x v="1"/>
    <n v="2597.2727272727302"/>
  </r>
  <r>
    <x v="1"/>
    <n v="2616.3636363636401"/>
  </r>
  <r>
    <x v="1"/>
    <n v="2635.45454545455"/>
  </r>
  <r>
    <x v="1"/>
    <n v="2654.54545454546"/>
  </r>
  <r>
    <x v="1"/>
    <n v="2673.6363636363699"/>
  </r>
  <r>
    <x v="1"/>
    <n v="2692.7272727272698"/>
  </r>
  <r>
    <x v="1"/>
    <n v="2711.8181818181802"/>
  </r>
  <r>
    <x v="1"/>
    <n v="2730.9090909090901"/>
  </r>
  <r>
    <x v="1"/>
    <n v="2750"/>
  </r>
  <r>
    <x v="1"/>
    <n v="2769.0909090909099"/>
  </r>
  <r>
    <x v="1"/>
    <n v="2788.1818181818198"/>
  </r>
  <r>
    <x v="1"/>
    <n v="2807.2727272727302"/>
  </r>
  <r>
    <x v="1"/>
    <n v="2826.3636363636401"/>
  </r>
  <r>
    <x v="1"/>
    <n v="2845.45454545455"/>
  </r>
  <r>
    <x v="1"/>
    <n v="2864.54545454546"/>
  </r>
  <r>
    <x v="1"/>
    <n v="2883.636363636369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d v="2025-01-05T00:00:00"/>
    <x v="0"/>
    <s v="Srinidhi Sagar Deluxe"/>
    <s v="Kengeri"/>
    <s v="Snack"/>
    <s v="Butter Chicken"/>
    <s v="Non Veg"/>
    <n v="55"/>
  </r>
  <r>
    <d v="2025-02-18T00:00:00"/>
    <x v="1"/>
    <s v="Empire Restaurant"/>
    <s v="Whitefield"/>
    <s v="Recommended"/>
    <s v="Chicken Curry"/>
    <s v="Non Veg"/>
    <n v="65"/>
  </r>
  <r>
    <d v="2025-03-27T00:00:00"/>
    <x v="2"/>
    <s v="Meghana Foods"/>
    <s v="Electronic City"/>
    <s v="Recommended"/>
    <s v="Chicken Biryani"/>
    <s v="Non Veg"/>
    <n v="110"/>
  </r>
  <r>
    <d v="2025-04-11T00:00:00"/>
    <x v="3"/>
    <s v="Truffles"/>
    <s v="Koramangala"/>
    <s v="Recommended"/>
    <s v="Chicken Tikka Masala"/>
    <s v="Non Veg"/>
    <n v="75"/>
  </r>
  <r>
    <d v="2025-05-22T00:00:00"/>
    <x v="2"/>
    <s v="A2B Adyar Ananda Bhavan"/>
    <s v="Indiranagar"/>
    <s v="Recommended"/>
    <s v="Chicken Korma"/>
    <s v="Non Veg"/>
    <n v="130"/>
  </r>
  <r>
    <d v="2025-06-09T00:00:00"/>
    <x v="4"/>
    <s v="Udupi Grand"/>
    <s v="Marathahalli"/>
    <s v="Recommended"/>
    <s v="Chicken Fried Rice"/>
    <s v="Non Veg"/>
    <n v="310"/>
  </r>
  <r>
    <d v="2025-07-15T00:00:00"/>
    <x v="1"/>
    <s v="Nandhana Palace"/>
    <s v="HSR Layout"/>
    <s v="Recommended"/>
    <s v="Chicken Noodles"/>
    <s v="Non Veg"/>
    <n v="95"/>
  </r>
  <r>
    <d v="2025-08-28T00:00:00"/>
    <x v="2"/>
    <s v="Sukh Sagar"/>
    <s v="Jayanagar"/>
    <s v="Recommended"/>
    <s v="Chicken Lollipop"/>
    <s v="Non Veg"/>
    <n v="140"/>
  </r>
  <r>
    <d v="2025-09-03T00:00:00"/>
    <x v="5"/>
    <s v="The Filter Coffee"/>
    <s v="BTM Layout"/>
    <s v="North Indian Gravy"/>
    <s v="Chicken Manchurian"/>
    <s v="Non Veg"/>
    <n v="245"/>
  </r>
  <r>
    <d v="2025-10-19T00:00:00"/>
    <x v="0"/>
    <s v="Brahmin's Coffee Bar"/>
    <s v="Rajajinagar"/>
    <s v="North Indian Gravy"/>
    <s v="Chicken 65"/>
    <s v="Non Veg"/>
    <n v="190"/>
  </r>
  <r>
    <d v="2025-11-07T00:00:00"/>
    <x v="3"/>
    <s v="MTR"/>
    <s v="Yelahanka"/>
    <s v="North Indian Gravy"/>
    <s v="Mutton Biryani"/>
    <s v="Non Veg"/>
    <n v="275"/>
  </r>
  <r>
    <d v="2025-12-24T00:00:00"/>
    <x v="5"/>
    <s v="Corner House"/>
    <s v="Hebbal"/>
    <s v="North Indian Gravy"/>
    <s v="Mutton Curry"/>
    <s v="Non Veg"/>
    <n v="268.18181818181802"/>
  </r>
  <r>
    <d v="2025-01-13T00:00:00"/>
    <x v="4"/>
    <s v="KFC"/>
    <s v="Banashankari"/>
    <s v="North Indian Gravy"/>
    <s v="Mutton Kebab"/>
    <s v="Non Veg"/>
    <n v="287.27272727272702"/>
  </r>
  <r>
    <d v="2025-02-26T00:00:00"/>
    <x v="5"/>
    <s v="McDonald's"/>
    <s v="Malleshwaram"/>
    <s v="North Indian Gravy"/>
    <s v="Mutton Rogan Josh"/>
    <s v="Non Veg"/>
    <n v="306.36363636363598"/>
  </r>
  <r>
    <d v="2025-03-08T00:00:00"/>
    <x v="6"/>
    <s v="Domino's Pizza"/>
    <s v="Bellandur"/>
    <s v="North Indian Gravy"/>
    <s v="Fish Curry"/>
    <s v="Non Veg"/>
    <n v="325.45454545454498"/>
  </r>
  <r>
    <d v="2025-04-21T00:00:00"/>
    <x v="4"/>
    <s v="Pizza Hut"/>
    <s v="Kengeri"/>
    <s v="South Indian"/>
    <s v="Fish Fry"/>
    <s v="Non Veg"/>
    <n v="344.54545454545399"/>
  </r>
  <r>
    <d v="2025-05-02T00:00:00"/>
    <x v="3"/>
    <s v="Burger King"/>
    <s v="Whitefield"/>
    <s v="South Indian"/>
    <s v="Fish Biryani"/>
    <s v="Non Veg"/>
    <n v="363.636363636363"/>
  </r>
  <r>
    <d v="2025-06-17T00:00:00"/>
    <x v="1"/>
    <s v="Subway"/>
    <s v="Electronic City"/>
    <s v="South Indian"/>
    <s v="Prawn Masala"/>
    <s v="Non Veg"/>
    <n v="382.72727272727298"/>
  </r>
  <r>
    <d v="2025-07-29T00:00:00"/>
    <x v="1"/>
    <s v="Barbeque Nation"/>
    <s v="Koramangala"/>
    <s v="South Indian"/>
    <s v="Prawn Biryani"/>
    <s v="Non Veg"/>
    <n v="401.81818181818198"/>
  </r>
  <r>
    <d v="2025-08-14T00:00:00"/>
    <x v="2"/>
    <s v="Absolute Barbecues"/>
    <s v="Indiranagar"/>
    <s v="South Indian"/>
    <s v="Egg Curry"/>
    <s v="Non Veg"/>
    <n v="420.90909090909099"/>
  </r>
  <r>
    <d v="2025-09-25T00:00:00"/>
    <x v="2"/>
    <s v="Srinidhi Sagar Deluxe"/>
    <s v="Marathahalli"/>
    <s v="Beverages"/>
    <s v="Egg Bhurji"/>
    <s v="Non Veg"/>
    <n v="440"/>
  </r>
  <r>
    <d v="2025-10-10T00:00:00"/>
    <x v="3"/>
    <s v="Empire Restaurant"/>
    <s v="HSR Layout"/>
    <s v="Beverages"/>
    <s v="Egg Biryani"/>
    <s v="Non Veg"/>
    <n v="459.09090909090901"/>
  </r>
  <r>
    <d v="2025-11-18T00:00:00"/>
    <x v="1"/>
    <s v="Meghana Foods"/>
    <s v="Jayanagar"/>
    <s v="Beverages"/>
    <s v="Butter Chicken"/>
    <s v="Non Veg"/>
    <n v="478.18181818181802"/>
  </r>
  <r>
    <d v="2025-12-30T00:00:00"/>
    <x v="1"/>
    <s v="Truffles"/>
    <s v="BTM Layout"/>
    <s v="Dessert"/>
    <s v="Chicken Curry"/>
    <s v="Non Veg"/>
    <n v="497.27272727272702"/>
  </r>
  <r>
    <d v="2025-01-04T00:00:00"/>
    <x v="6"/>
    <s v="A2B Adyar Ananda Bhavan"/>
    <s v="Rajajinagar"/>
    <s v="Dessert"/>
    <s v="Chicken Biryani"/>
    <s v="Non Veg"/>
    <n v="516.36363636363603"/>
  </r>
  <r>
    <d v="2025-02-16T00:00:00"/>
    <x v="0"/>
    <s v="Udupi Grand"/>
    <s v="Yelahanka"/>
    <s v="Dessert"/>
    <s v="Chicken Tikka Masala"/>
    <s v="Non Veg"/>
    <n v="535.45454545454504"/>
  </r>
  <r>
    <d v="2025-03-23T00:00:00"/>
    <x v="0"/>
    <s v="Nandhana Palace"/>
    <s v="Hebbal"/>
    <s v="Chinese"/>
    <s v="Chicken Korma"/>
    <s v="Non Veg"/>
    <n v="554.54545454545405"/>
  </r>
  <r>
    <d v="2025-04-06T00:00:00"/>
    <x v="0"/>
    <s v="Sukh Sagar"/>
    <s v="Banashankari"/>
    <s v="Chinese"/>
    <s v="Chicken Fried Rice"/>
    <s v="Non Veg"/>
    <n v="573.63636363636294"/>
  </r>
  <r>
    <d v="2025-05-20T00:00:00"/>
    <x v="0"/>
    <s v="The Filter Coffee"/>
    <s v="Malleshwaram"/>
    <s v="Chinese"/>
    <s v="Chicken Noodles"/>
    <s v="Non Veg"/>
    <n v="592.72727272727298"/>
  </r>
  <r>
    <d v="2025-06-12T00:00:00"/>
    <x v="1"/>
    <s v="Brahmin's Coffee Bar"/>
    <s v="Bellandur"/>
    <s v="Chinese"/>
    <s v="Chicken Lollipop"/>
    <s v="Non Veg"/>
    <n v="611.81818181818198"/>
  </r>
  <r>
    <d v="2025-07-27T00:00:00"/>
    <x v="2"/>
    <s v="MTR"/>
    <s v="Kengeri"/>
    <s v="Snack"/>
    <s v="Chicken Manchurian"/>
    <s v="Non Veg"/>
    <n v="630.90909090909099"/>
  </r>
  <r>
    <d v="2025-08-09T00:00:00"/>
    <x v="3"/>
    <s v="Corner House"/>
    <s v="Whitefield"/>
    <s v="Recommended"/>
    <s v="Chicken 65"/>
    <s v="Non Veg"/>
    <n v="650"/>
  </r>
  <r>
    <d v="2025-09-22T00:00:00"/>
    <x v="2"/>
    <s v="KFC"/>
    <s v="Electronic City"/>
    <s v="Recommended"/>
    <s v="Mutton Biryani"/>
    <s v="Non Veg"/>
    <n v="669.09090909090901"/>
  </r>
  <r>
    <d v="2025-10-05T00:00:00"/>
    <x v="4"/>
    <s v="McDonald's"/>
    <s v="Koramangala"/>
    <s v="Recommended"/>
    <s v="Mutton Curry"/>
    <s v="Non Veg"/>
    <n v="688.18181818181802"/>
  </r>
  <r>
    <d v="2025-11-17T00:00:00"/>
    <x v="1"/>
    <s v="Domino's Pizza"/>
    <s v="Indiranagar"/>
    <s v="Recommended"/>
    <s v="Mutton Kebab"/>
    <s v="Non Veg"/>
    <n v="707.27272727272702"/>
  </r>
  <r>
    <d v="2025-12-28T00:00:00"/>
    <x v="2"/>
    <s v="Pizza Hut"/>
    <s v="Marathahalli"/>
    <s v="Recommended"/>
    <s v="Mutton Rogan Josh"/>
    <s v="Non Veg"/>
    <n v="726.36363636363603"/>
  </r>
  <r>
    <d v="2025-01-08T00:00:00"/>
    <x v="5"/>
    <s v="Burger King"/>
    <s v="HSR Layout"/>
    <s v="North Indian Gravy"/>
    <s v="Fish Curry"/>
    <s v="Non Veg"/>
    <n v="745.45454545454504"/>
  </r>
  <r>
    <d v="2025-02-19T00:00:00"/>
    <x v="0"/>
    <s v="Subway"/>
    <s v="Jayanagar"/>
    <s v="North Indian Gravy"/>
    <s v="Fish Fry"/>
    <s v="Non Veg"/>
    <n v="764.54545454545405"/>
  </r>
  <r>
    <d v="2025-03-31T00:00:00"/>
    <x v="3"/>
    <s v="Barbeque Nation"/>
    <s v="BTM Layout"/>
    <s v="North Indian Gravy"/>
    <s v="Fish Biryani"/>
    <s v="Non Veg"/>
    <n v="783.63636363636294"/>
  </r>
  <r>
    <d v="2025-04-15T00:00:00"/>
    <x v="5"/>
    <s v="Absolute Barbecues"/>
    <s v="Rajajinagar"/>
    <s v="North Indian Gravy"/>
    <s v="Prawn Masala"/>
    <s v="Non Veg"/>
    <n v="802.72727272727298"/>
  </r>
  <r>
    <d v="2025-05-26T00:00:00"/>
    <x v="4"/>
    <s v="Srinidhi Sagar Deluxe"/>
    <s v="Yelahanka"/>
    <s v="South Indian"/>
    <s v="Prawn Biryani"/>
    <s v="Non Veg"/>
    <n v="821.81818181818198"/>
  </r>
  <r>
    <d v="2025-06-07T00:00:00"/>
    <x v="5"/>
    <s v="Empire Restaurant"/>
    <s v="Hebbal"/>
    <s v="South Indian"/>
    <s v="Egg Curry"/>
    <s v="Non Veg"/>
    <n v="840.90909090909099"/>
  </r>
  <r>
    <d v="2025-07-18T00:00:00"/>
    <x v="6"/>
    <s v="Meghana Foods"/>
    <s v="Banashankari"/>
    <s v="South Indian"/>
    <s v="Egg Bhurji"/>
    <s v="Non Veg"/>
    <n v="860"/>
  </r>
  <r>
    <d v="2025-08-30T00:00:00"/>
    <x v="4"/>
    <s v="Truffles"/>
    <s v="Malleshwaram"/>
    <s v="Beverages"/>
    <s v="Egg Biryani"/>
    <s v="Non Veg"/>
    <n v="879.09090909090901"/>
  </r>
  <r>
    <d v="2025-09-11T00:00:00"/>
    <x v="3"/>
    <s v="A2B Adyar Ananda Bhavan"/>
    <s v="Bellandur"/>
    <s v="Beverages"/>
    <s v="Butter Chicken"/>
    <s v="Non Veg"/>
    <n v="898.18181818181802"/>
  </r>
  <r>
    <d v="2025-10-24T00:00:00"/>
    <x v="1"/>
    <s v="Udupi Grand"/>
    <s v="Kengeri"/>
    <s v="Dessert"/>
    <s v="Chicken Curry"/>
    <s v="Non Veg"/>
    <n v="917.27272727272702"/>
  </r>
  <r>
    <d v="2025-11-06T00:00:00"/>
    <x v="1"/>
    <s v="Nandhana Palace"/>
    <s v="Whitefield"/>
    <s v="Dessert"/>
    <s v="Chicken Biryani"/>
    <s v="Non Veg"/>
    <n v="936.36363636363603"/>
  </r>
  <r>
    <d v="2025-12-19T00:00:00"/>
    <x v="2"/>
    <s v="Sukh Sagar"/>
    <s v="Electronic City"/>
    <s v="Chinese"/>
    <s v="Chicken Tikka Masala"/>
    <s v="Non Veg"/>
    <n v="955.45454545454504"/>
  </r>
  <r>
    <d v="2025-02-02T00:00:00"/>
    <x v="2"/>
    <s v="The Filter Coffee"/>
    <s v="Koramangala"/>
    <s v="Chinese"/>
    <s v="Chicken Korma"/>
    <s v="Non Veg"/>
    <n v="974.54545454545405"/>
  </r>
  <r>
    <d v="2025-03-14T00:00:00"/>
    <x v="3"/>
    <s v="Brahmin's Coffee Bar"/>
    <s v="Indiranagar"/>
    <s v="Snack"/>
    <s v="Chicken Fried Rice"/>
    <s v="Non Veg"/>
    <n v="993.63636363636294"/>
  </r>
  <r>
    <d v="2025-01-05T00:00:00"/>
    <x v="1"/>
    <s v="MTR"/>
    <s v="Marathahalli"/>
    <s v="Recommended"/>
    <s v="Chicken Noodles"/>
    <s v="Non Veg"/>
    <n v="1012.72727272727"/>
  </r>
  <r>
    <d v="2025-02-18T00:00:00"/>
    <x v="1"/>
    <s v="Corner House"/>
    <s v="HSR Layout"/>
    <s v="Recommended"/>
    <s v="Chicken Lollipop"/>
    <s v="Non Veg"/>
    <n v="1031.8181818181799"/>
  </r>
  <r>
    <d v="2025-03-27T00:00:00"/>
    <x v="6"/>
    <s v="KFC"/>
    <s v="Jayanagar"/>
    <s v="Recommended"/>
    <s v="Chicken Manchurian"/>
    <s v="Non Veg"/>
    <n v="1050.9090909090901"/>
  </r>
  <r>
    <d v="2025-04-11T00:00:00"/>
    <x v="0"/>
    <s v="McDonald's"/>
    <s v="BTM Layout"/>
    <s v="North Indian Gravy"/>
    <s v="Chicken 65"/>
    <s v="Non Veg"/>
    <n v="1070"/>
  </r>
  <r>
    <d v="2025-05-22T00:00:00"/>
    <x v="0"/>
    <s v="Domino's Pizza"/>
    <s v="Rajajinagar"/>
    <s v="North Indian Gravy"/>
    <s v="Mutton Biryani"/>
    <s v="Non Veg"/>
    <n v="1089.0909090909099"/>
  </r>
  <r>
    <d v="2025-06-09T00:00:00"/>
    <x v="0"/>
    <s v="Pizza Hut"/>
    <s v="Yelahanka"/>
    <s v="North Indian Gravy"/>
    <s v="Mutton Curry"/>
    <s v="Non Veg"/>
    <n v="1108.1818181818201"/>
  </r>
  <r>
    <d v="2025-07-15T00:00:00"/>
    <x v="0"/>
    <s v="Burger King"/>
    <s v="Hebbal"/>
    <s v="South Indian"/>
    <s v="Mutton Kebab"/>
    <s v="Non Veg"/>
    <n v="1127.27272727273"/>
  </r>
  <r>
    <d v="2025-08-28T00:00:00"/>
    <x v="1"/>
    <s v="Subway"/>
    <s v="Banashankari"/>
    <s v="South Indian"/>
    <s v="Mutton Rogan Josh"/>
    <s v="Non Veg"/>
    <n v="1146.3636363636399"/>
  </r>
  <r>
    <d v="2025-09-03T00:00:00"/>
    <x v="2"/>
    <s v="Barbeque Nation"/>
    <s v="Malleshwaram"/>
    <s v="South Indian"/>
    <s v="Fish Curry"/>
    <s v="Non Veg"/>
    <n v="1165.45454545455"/>
  </r>
  <r>
    <d v="2025-10-19T00:00:00"/>
    <x v="3"/>
    <s v="Absolute Barbecues"/>
    <s v="Bellandur"/>
    <s v="Beverages"/>
    <s v="Fish Fry"/>
    <s v="Non Veg"/>
    <n v="1184.54545454546"/>
  </r>
  <r>
    <d v="2025-11-07T00:00:00"/>
    <x v="2"/>
    <s v="Srinidhi Sagar Deluxe"/>
    <s v="Kengeri"/>
    <s v="Beverages"/>
    <s v="Fish Biryani"/>
    <s v="Non Veg"/>
    <n v="1203.6363636363701"/>
  </r>
  <r>
    <d v="2025-12-24T00:00:00"/>
    <x v="4"/>
    <s v="Empire Restaurant"/>
    <s v="Whitefield"/>
    <s v="Dessert"/>
    <s v="Prawn Masala"/>
    <s v="Non Veg"/>
    <n v="1222.72727272727"/>
  </r>
  <r>
    <d v="2025-01-13T00:00:00"/>
    <x v="1"/>
    <s v="Meghana Foods"/>
    <s v="Electronic City"/>
    <s v="Dessert"/>
    <s v="Prawn Biryani"/>
    <s v="Non Veg"/>
    <n v="1241.8181818181799"/>
  </r>
  <r>
    <d v="2025-02-26T00:00:00"/>
    <x v="2"/>
    <s v="Truffles"/>
    <s v="Koramangala"/>
    <s v="Chinese"/>
    <s v="Egg Curry"/>
    <s v="Non Veg"/>
    <n v="1260.9090909090901"/>
  </r>
  <r>
    <d v="2025-03-08T00:00:00"/>
    <x v="5"/>
    <s v="A2B Adyar Ananda Bhavan"/>
    <s v="Indiranagar"/>
    <s v="Chinese"/>
    <s v="Egg Bhurji"/>
    <s v="Non Veg"/>
    <n v="1280"/>
  </r>
  <r>
    <d v="2025-04-21T00:00:00"/>
    <x v="0"/>
    <s v="Udupi Grand"/>
    <s v="Marathahalli"/>
    <s v="Snack"/>
    <s v="Egg Biryani"/>
    <s v="Non Veg"/>
    <n v="1299.0909090909099"/>
  </r>
  <r>
    <d v="2025-05-02T00:00:00"/>
    <x v="3"/>
    <s v="Nandhana Palace"/>
    <s v="HSR Layout"/>
    <s v="Recommended"/>
    <s v="Butter Chicken"/>
    <s v="Non Veg"/>
    <n v="1318.1818181818201"/>
  </r>
  <r>
    <d v="2025-06-17T00:00:00"/>
    <x v="5"/>
    <s v="Sukh Sagar"/>
    <s v="Jayanagar"/>
    <s v="Recommended"/>
    <s v="Chicken Curry"/>
    <s v="Non Veg"/>
    <n v="1337.27272727273"/>
  </r>
  <r>
    <d v="2025-07-29T00:00:00"/>
    <x v="4"/>
    <s v="The Filter Coffee"/>
    <s v="BTM Layout"/>
    <s v="Recommended"/>
    <s v="Chicken Biryani"/>
    <s v="Non Veg"/>
    <n v="1356.3636363636399"/>
  </r>
  <r>
    <d v="2025-08-14T00:00:00"/>
    <x v="5"/>
    <s v="Brahmin's Coffee Bar"/>
    <s v="Rajajinagar"/>
    <s v="Recommended"/>
    <s v="Chicken Tikka Masala"/>
    <s v="Non Veg"/>
    <n v="1375.45454545455"/>
  </r>
  <r>
    <d v="2025-09-25T00:00:00"/>
    <x v="6"/>
    <s v="MTR"/>
    <s v="Yelahanka"/>
    <s v="North Indian Gravy"/>
    <s v="Chicken Korma"/>
    <s v="Non Veg"/>
    <n v="1394.54545454546"/>
  </r>
  <r>
    <d v="2025-10-10T00:00:00"/>
    <x v="4"/>
    <s v="Corner House"/>
    <s v="Hebbal"/>
    <s v="North Indian Gravy"/>
    <s v="Chicken Fried Rice"/>
    <s v="Non Veg"/>
    <n v="1413.6363636363701"/>
  </r>
  <r>
    <d v="2025-11-18T00:00:00"/>
    <x v="3"/>
    <s v="KFC"/>
    <s v="Banashankari"/>
    <s v="North Indian Gravy"/>
    <s v="Chicken Noodles"/>
    <s v="Non Veg"/>
    <n v="1432.72727272727"/>
  </r>
  <r>
    <d v="2025-12-30T00:00:00"/>
    <x v="1"/>
    <s v="McDonald's"/>
    <s v="Malleshwaram"/>
    <s v="South Indian"/>
    <s v="Chicken Lollipop"/>
    <s v="Non Veg"/>
    <n v="1451.8181818181799"/>
  </r>
  <r>
    <d v="2025-01-04T00:00:00"/>
    <x v="1"/>
    <s v="Domino's Pizza"/>
    <s v="Bellandur"/>
    <s v="South Indian"/>
    <s v="Chicken Manchurian"/>
    <s v="Non Veg"/>
    <n v="1470.9090909090901"/>
  </r>
  <r>
    <d v="2025-02-16T00:00:00"/>
    <x v="2"/>
    <s v="Pizza Hut"/>
    <s v="Kengeri"/>
    <s v="South Indian"/>
    <s v="Chicken 65"/>
    <s v="Non Veg"/>
    <n v="1490"/>
  </r>
  <r>
    <d v="2025-03-23T00:00:00"/>
    <x v="2"/>
    <s v="Burger King"/>
    <s v="Whitefield"/>
    <s v="Beverages"/>
    <s v="Mutton Biryani"/>
    <s v="Non Veg"/>
    <n v="1509.0909090909099"/>
  </r>
  <r>
    <d v="2025-04-06T00:00:00"/>
    <x v="3"/>
    <s v="Subway"/>
    <s v="Electronic City"/>
    <s v="Beverages"/>
    <s v="Mutton Curry"/>
    <s v="Non Veg"/>
    <n v="1528.1818181818201"/>
  </r>
  <r>
    <d v="2025-05-20T00:00:00"/>
    <x v="1"/>
    <s v="Barbeque Nation"/>
    <s v="Koramangala"/>
    <s v="Dessert"/>
    <s v="Mutton Kebab"/>
    <s v="Non Veg"/>
    <n v="1547.27272727273"/>
  </r>
  <r>
    <d v="2025-06-12T00:00:00"/>
    <x v="1"/>
    <s v="Absolute Barbecues"/>
    <s v="Indiranagar"/>
    <s v="Dessert"/>
    <s v="Mutton Rogan Josh"/>
    <s v="Non Veg"/>
    <n v="1566.3636363636399"/>
  </r>
  <r>
    <d v="2025-07-27T00:00:00"/>
    <x v="6"/>
    <s v="Srinidhi Sagar Deluxe"/>
    <s v="Marathahalli"/>
    <s v="Chinese"/>
    <s v="Fish Curry"/>
    <s v="Non Veg"/>
    <n v="1585.45454545455"/>
  </r>
  <r>
    <d v="2025-08-09T00:00:00"/>
    <x v="0"/>
    <s v="Empire Restaurant"/>
    <s v="HSR Layout"/>
    <s v="Chinese"/>
    <s v="Fish Fry"/>
    <s v="Non Veg"/>
    <n v="1604.54545454546"/>
  </r>
  <r>
    <d v="2025-09-22T00:00:00"/>
    <x v="0"/>
    <s v="Meghana Foods"/>
    <s v="Jayanagar"/>
    <s v="Snack"/>
    <s v="Fish Biryani"/>
    <s v="Non Veg"/>
    <n v="1623.6363636363701"/>
  </r>
  <r>
    <d v="2025-10-05T00:00:00"/>
    <x v="0"/>
    <s v="Truffles"/>
    <s v="BTM Layout"/>
    <s v="Recommended"/>
    <s v="Prawn Masala"/>
    <s v="Non Veg"/>
    <n v="1642.72727272727"/>
  </r>
  <r>
    <d v="2025-11-17T00:00:00"/>
    <x v="0"/>
    <s v="A2B Adyar Ananda Bhavan"/>
    <s v="Rajajinagar"/>
    <s v="Recommended"/>
    <s v="Prawn Biryani"/>
    <s v="Non Veg"/>
    <n v="1661.8181818181799"/>
  </r>
  <r>
    <d v="2025-12-28T00:00:00"/>
    <x v="1"/>
    <s v="Udupi Grand"/>
    <s v="Yelahanka"/>
    <s v="Recommended"/>
    <s v="Egg Curry"/>
    <s v="Non Veg"/>
    <n v="1680.9090909090901"/>
  </r>
  <r>
    <d v="2025-01-08T00:00:00"/>
    <x v="2"/>
    <s v="Nandhana Palace"/>
    <s v="Hebbal"/>
    <s v="North Indian Gravy"/>
    <s v="Egg Bhurji"/>
    <s v="Non Veg"/>
    <n v="1700"/>
  </r>
  <r>
    <d v="2025-02-19T00:00:00"/>
    <x v="3"/>
    <s v="Sukh Sagar"/>
    <s v="Banashankari"/>
    <s v="North Indian Gravy"/>
    <s v="Egg Biryani"/>
    <s v="Non Veg"/>
    <n v="1719.0909090909099"/>
  </r>
  <r>
    <d v="2025-03-31T00:00:00"/>
    <x v="2"/>
    <s v="The Filter Coffee"/>
    <s v="Malleshwaram"/>
    <s v="North Indian Gravy"/>
    <s v="Butter Chicken"/>
    <s v="Non Veg"/>
    <n v="1738.1818181818201"/>
  </r>
  <r>
    <d v="2025-04-15T00:00:00"/>
    <x v="4"/>
    <s v="Brahmin's Coffee Bar"/>
    <s v="Bellandur"/>
    <s v="South Indian"/>
    <s v="Chicken Curry"/>
    <s v="Non Veg"/>
    <n v="1757.27272727273"/>
  </r>
  <r>
    <d v="2025-05-26T00:00:00"/>
    <x v="1"/>
    <s v="MTR"/>
    <s v="Kengeri"/>
    <s v="South Indian"/>
    <s v="Chicken Biryani"/>
    <s v="Non Veg"/>
    <n v="1776.3636363636399"/>
  </r>
  <r>
    <d v="2025-06-07T00:00:00"/>
    <x v="2"/>
    <s v="Corner House"/>
    <s v="Whitefield"/>
    <s v="South Indian"/>
    <s v="Chicken Tikka Masala"/>
    <s v="Non Veg"/>
    <n v="1795.45454545455"/>
  </r>
  <r>
    <d v="2025-07-18T00:00:00"/>
    <x v="5"/>
    <s v="KFC"/>
    <s v="Electronic City"/>
    <s v="Beverages"/>
    <s v="Chicken Korma"/>
    <s v="Non Veg"/>
    <n v="1814.54545454546"/>
  </r>
  <r>
    <d v="2025-08-30T00:00:00"/>
    <x v="0"/>
    <s v="McDonald's"/>
    <s v="Koramangala"/>
    <s v="Beverages"/>
    <s v="Chicken Fried Rice"/>
    <s v="Non Veg"/>
    <n v="1833.6363636363701"/>
  </r>
  <r>
    <d v="2025-09-11T00:00:00"/>
    <x v="3"/>
    <s v="Domino's Pizza"/>
    <s v="Indiranagar"/>
    <s v="Dessert"/>
    <s v="Chicken Noodles"/>
    <s v="Non Veg"/>
    <n v="1852.72727272727"/>
  </r>
  <r>
    <d v="2025-10-24T00:00:00"/>
    <x v="5"/>
    <s v="Pizza Hut"/>
    <s v="Marathahalli"/>
    <s v="Dessert"/>
    <s v="Chicken Lollipop"/>
    <s v="Non Veg"/>
    <n v="1871.8181818181799"/>
  </r>
  <r>
    <d v="2025-11-06T00:00:00"/>
    <x v="4"/>
    <s v="Burger King"/>
    <s v="HSR Layout"/>
    <s v="Chinese"/>
    <s v="Chicken Manchurian"/>
    <s v="Non Veg"/>
    <n v="1890.9090909090901"/>
  </r>
  <r>
    <d v="2025-12-19T00:00:00"/>
    <x v="5"/>
    <s v="Subway"/>
    <s v="Jayanagar"/>
    <s v="Chinese"/>
    <s v="Chicken 65"/>
    <s v="Non Veg"/>
    <n v="1910"/>
  </r>
  <r>
    <d v="2025-02-02T00:00:00"/>
    <x v="6"/>
    <s v="Barbeque Nation"/>
    <s v="BTM Layout"/>
    <s v="Snack"/>
    <s v="Mutton Biryani"/>
    <s v="Non Veg"/>
    <n v="1929.0909090909099"/>
  </r>
  <r>
    <d v="2025-03-14T00:00:00"/>
    <x v="4"/>
    <s v="Absolute Barbecues"/>
    <s v="Rajajinagar"/>
    <s v="Recommended"/>
    <s v="Mutton Curry"/>
    <s v="Non Veg"/>
    <n v="1948.1818181818201"/>
  </r>
  <r>
    <d v="2025-01-05T00:00:00"/>
    <x v="3"/>
    <s v="Srinidhi Sagar Deluxe"/>
    <s v="Yelahanka"/>
    <s v="Recommended"/>
    <s v="Mutton Kebab"/>
    <s v="Non Veg"/>
    <n v="1967.27272727273"/>
  </r>
  <r>
    <d v="2025-02-18T00:00:00"/>
    <x v="1"/>
    <s v="Empire Restaurant"/>
    <s v="Hebbal"/>
    <s v="Recommended"/>
    <s v="Mutton Rogan Josh"/>
    <s v="Non Veg"/>
    <n v="1986.3636363636399"/>
  </r>
  <r>
    <d v="2025-03-27T00:00:00"/>
    <x v="1"/>
    <s v="Meghana Foods"/>
    <s v="Banashankari"/>
    <s v="Recommended"/>
    <s v="Fish Curry"/>
    <s v="Non Veg"/>
    <n v="2005.45454545455"/>
  </r>
  <r>
    <d v="2025-04-11T00:00:00"/>
    <x v="2"/>
    <s v="Truffles"/>
    <s v="Malleshwaram"/>
    <s v="Recommended"/>
    <s v="Fish Fry"/>
    <s v="Non Veg"/>
    <n v="2024.54545454546"/>
  </r>
  <r>
    <d v="2025-05-22T00:00:00"/>
    <x v="2"/>
    <s v="A2B Adyar Ananda Bhavan"/>
    <s v="Bellandur"/>
    <s v="North Indian Gravy"/>
    <s v="Fish Biryani"/>
    <s v="Non Veg"/>
    <n v="2043.6363636363701"/>
  </r>
  <r>
    <d v="2025-06-09T00:00:00"/>
    <x v="3"/>
    <s v="Udupi Grand"/>
    <s v="Kengeri"/>
    <s v="North Indian Gravy"/>
    <s v="Prawn Masala"/>
    <s v="Non Veg"/>
    <n v="2062.7272727272698"/>
  </r>
  <r>
    <d v="2025-07-15T00:00:00"/>
    <x v="1"/>
    <s v="Nandhana Palace"/>
    <s v="Whitefield"/>
    <s v="North Indian Gravy"/>
    <s v="Prawn Biryani"/>
    <s v="Non Veg"/>
    <n v="2081.8181818181802"/>
  </r>
  <r>
    <d v="2025-08-28T00:00:00"/>
    <x v="1"/>
    <s v="Sukh Sagar"/>
    <s v="Electronic City"/>
    <s v="North Indian Gravy"/>
    <s v="Egg Curry"/>
    <s v="Non Veg"/>
    <n v="2100.9090909090901"/>
  </r>
  <r>
    <d v="2025-09-03T00:00:00"/>
    <x v="6"/>
    <s v="The Filter Coffee"/>
    <s v="Koramangala"/>
    <s v="South Indian"/>
    <s v="Egg Bhurji"/>
    <s v="Non Veg"/>
    <n v="2120"/>
  </r>
  <r>
    <d v="2025-10-19T00:00:00"/>
    <x v="0"/>
    <s v="Brahmin's Coffee Bar"/>
    <s v="Indiranagar"/>
    <s v="South Indian"/>
    <s v="Egg Biryani"/>
    <s v="Non Veg"/>
    <n v="2139.0909090909099"/>
  </r>
  <r>
    <d v="2025-11-07T00:00:00"/>
    <x v="0"/>
    <s v="MTR"/>
    <s v="Marathahalli"/>
    <s v="South Indian"/>
    <s v="Butter Chicken"/>
    <s v="Non Veg"/>
    <n v="2158.1818181818198"/>
  </r>
  <r>
    <d v="2025-12-24T00:00:00"/>
    <x v="0"/>
    <s v="Corner House"/>
    <s v="HSR Layout"/>
    <s v="South Indian"/>
    <s v="Chicken Curry"/>
    <s v="Non Veg"/>
    <n v="2177.2727272727302"/>
  </r>
  <r>
    <d v="2025-01-13T00:00:00"/>
    <x v="0"/>
    <s v="KFC"/>
    <s v="Jayanagar"/>
    <s v="Beverages"/>
    <s v="Chicken Biryani"/>
    <s v="Non Veg"/>
    <n v="2196.3636363636401"/>
  </r>
  <r>
    <d v="2025-02-26T00:00:00"/>
    <x v="1"/>
    <s v="McDonald's"/>
    <s v="BTM Layout"/>
    <s v="Beverages"/>
    <s v="Chicken Tikka Masala"/>
    <s v="Non Veg"/>
    <n v="2215.45454545455"/>
  </r>
  <r>
    <d v="2025-03-08T00:00:00"/>
    <x v="2"/>
    <s v="Domino's Pizza"/>
    <s v="Rajajinagar"/>
    <s v="Dessert"/>
    <s v="Chicken Korma"/>
    <s v="Non Veg"/>
    <n v="2234.54545454546"/>
  </r>
  <r>
    <d v="2025-04-21T00:00:00"/>
    <x v="3"/>
    <s v="Pizza Hut"/>
    <s v="Yelahanka"/>
    <s v="Dessert"/>
    <s v="Chicken Fried Rice"/>
    <s v="Non Veg"/>
    <n v="2253.6363636363699"/>
  </r>
  <r>
    <d v="2025-05-02T00:00:00"/>
    <x v="2"/>
    <s v="Burger King"/>
    <s v="Hebbal"/>
    <s v="Chinese"/>
    <s v="Chicken Noodles"/>
    <s v="Non Veg"/>
    <n v="2272.7272727272698"/>
  </r>
  <r>
    <d v="2025-06-17T00:00:00"/>
    <x v="4"/>
    <s v="Subway"/>
    <s v="Banashankari"/>
    <s v="Chinese"/>
    <s v="Chicken Lollipop"/>
    <s v="Non Veg"/>
    <n v="2291.8181818181802"/>
  </r>
  <r>
    <d v="2025-07-29T00:00:00"/>
    <x v="1"/>
    <s v="Barbeque Nation"/>
    <s v="Malleshwaram"/>
    <s v="Snack"/>
    <s v="Paneer Butter Masala"/>
    <s v="Veg"/>
    <n v="2310.9090909090901"/>
  </r>
  <r>
    <d v="2025-08-14T00:00:00"/>
    <x v="2"/>
    <s v="Absolute Barbecues"/>
    <s v="Bellandur"/>
    <s v="Recommended"/>
    <s v="Palak Paneer"/>
    <s v="Veg"/>
    <n v="2330"/>
  </r>
  <r>
    <d v="2025-09-25T00:00:00"/>
    <x v="5"/>
    <s v="Srinidhi Sagar Deluxe"/>
    <s v="Kengeri"/>
    <s v="Recommended"/>
    <s v="Paneer Tikka Masala"/>
    <s v="Veg"/>
    <n v="2349.0909090909099"/>
  </r>
  <r>
    <d v="2025-10-10T00:00:00"/>
    <x v="0"/>
    <s v="Empire Restaurant"/>
    <s v="Whitefield"/>
    <s v="Recommended"/>
    <s v="Paneer Korma"/>
    <s v="Veg"/>
    <n v="2368.1818181818198"/>
  </r>
  <r>
    <d v="2025-11-18T00:00:00"/>
    <x v="3"/>
    <s v="Meghana Foods"/>
    <s v="Electronic City"/>
    <s v="North Indian Gravy"/>
    <s v="Paneer Fried Rice"/>
    <s v="Veg"/>
    <n v="2387.2727272727302"/>
  </r>
  <r>
    <d v="2025-12-30T00:00:00"/>
    <x v="5"/>
    <s v="Truffles"/>
    <s v="Koramangala"/>
    <s v="North Indian Gravy"/>
    <s v="Hakka Noodles"/>
    <s v="Veg"/>
    <n v="2406.3636363636401"/>
  </r>
  <r>
    <d v="2025-01-04T00:00:00"/>
    <x v="4"/>
    <s v="A2B Adyar Ananda Bhavan"/>
    <s v="Indiranagar"/>
    <s v="South Indian"/>
    <s v="Veg Lollipop"/>
    <s v="Veg"/>
    <n v="2425.45454545455"/>
  </r>
  <r>
    <d v="2025-02-16T00:00:00"/>
    <x v="5"/>
    <s v="Udupi Grand"/>
    <s v="Marathahalli"/>
    <s v="South Indian"/>
    <s v="Veg Manchurian"/>
    <s v="Veg"/>
    <n v="2444.54545454546"/>
  </r>
  <r>
    <d v="2025-03-23T00:00:00"/>
    <x v="6"/>
    <s v="Nandhana Palace"/>
    <s v="HSR Layout"/>
    <s v="Beverages"/>
    <s v="Chilli Paneer"/>
    <s v="Veg"/>
    <n v="2463.6363636363699"/>
  </r>
  <r>
    <d v="2025-04-06T00:00:00"/>
    <x v="4"/>
    <s v="Sukh Sagar"/>
    <s v="Jayanagar"/>
    <s v="Dessert"/>
    <s v="Veg Biryani"/>
    <s v="Veg"/>
    <n v="2482.7272727272698"/>
  </r>
  <r>
    <d v="2025-05-20T00:00:00"/>
    <x v="3"/>
    <s v="The Filter Coffee"/>
    <s v="BTM Layout"/>
    <s v="Chinese"/>
    <s v="Dal Makhani"/>
    <s v="Veg"/>
    <n v="2501.8181818181802"/>
  </r>
  <r>
    <d v="2025-06-12T00:00:00"/>
    <x v="1"/>
    <s v="Brahmin's Coffee Bar"/>
    <s v="Rajajinagar"/>
    <s v="Snack"/>
    <s v="Paneer Kebab"/>
    <s v="Veg"/>
    <n v="2520.9090909090901"/>
  </r>
  <r>
    <d v="2025-07-27T00:00:00"/>
    <x v="1"/>
    <s v="MTR"/>
    <s v="Yelahanka"/>
    <s v="Recommended"/>
    <s v="Mushroom Masala"/>
    <s v="Veg"/>
    <n v="2540"/>
  </r>
  <r>
    <d v="2025-08-09T00:00:00"/>
    <x v="2"/>
    <s v="Corner House"/>
    <s v="Hebbal"/>
    <s v="Recommended"/>
    <s v="Veg Kurma"/>
    <s v="Veg"/>
    <n v="2559.0909090909099"/>
  </r>
  <r>
    <d v="2025-09-22T00:00:00"/>
    <x v="2"/>
    <s v="KFC"/>
    <s v="Banashankari"/>
    <s v="North Indian Gravy"/>
    <s v="Chana Masala"/>
    <s v="Veg"/>
    <n v="2578.1818181818198"/>
  </r>
  <r>
    <d v="2025-10-05T00:00:00"/>
    <x v="3"/>
    <s v="McDonald's"/>
    <s v="Malleshwaram"/>
    <s v="North Indian Gravy"/>
    <s v="Aloo Fry"/>
    <s v="Veg"/>
    <n v="2597.2727272727302"/>
  </r>
  <r>
    <d v="2025-11-17T00:00:00"/>
    <x v="1"/>
    <s v="Domino's Pizza"/>
    <s v="Bellandur"/>
    <s v="South Indian"/>
    <s v="Jeera Rice"/>
    <s v="Veg"/>
    <n v="2616.3636363636401"/>
  </r>
  <r>
    <d v="2025-12-28T00:00:00"/>
    <x v="1"/>
    <s v="Pizza Hut"/>
    <s v="Kengeri"/>
    <s v="South Indian"/>
    <s v="Mix Veg Biryani"/>
    <s v="Veg"/>
    <n v="2635.45454545455"/>
  </r>
  <r>
    <d v="2025-01-08T00:00:00"/>
    <x v="6"/>
    <s v="Burger King"/>
    <s v="Whitefield"/>
    <s v="Beverages"/>
    <s v="Veg Kofta"/>
    <s v="Veg"/>
    <n v="2654.54545454546"/>
  </r>
  <r>
    <d v="2025-02-19T00:00:00"/>
    <x v="0"/>
    <s v="Subway"/>
    <s v="Electronic City"/>
    <s v="Dessert"/>
    <s v="Veg Pulao"/>
    <s v="Veg"/>
    <n v="2673.6363636363699"/>
  </r>
  <r>
    <d v="2025-03-31T00:00:00"/>
    <x v="0"/>
    <s v="Barbeque Nation"/>
    <s v="Koramangala"/>
    <s v="Chinese"/>
    <s v="Eggless Curry"/>
    <s v="Veg"/>
    <n v="2692.7272727272698"/>
  </r>
  <r>
    <d v="2025-04-15T00:00:00"/>
    <x v="0"/>
    <s v="Absolute Barbecues"/>
    <s v="Indiranagar"/>
    <s v="Snack"/>
    <s v="Paneer Bhurji"/>
    <s v="Veg"/>
    <n v="2711.8181818181802"/>
  </r>
  <r>
    <d v="2025-05-26T00:00:00"/>
    <x v="0"/>
    <s v="Srinidhi Sagar Deluxe"/>
    <s v="Marathahalli"/>
    <s v="Recommended"/>
    <s v="Kashmiri Pulao"/>
    <s v="Veg"/>
    <n v="2730.9090909090901"/>
  </r>
  <r>
    <d v="2025-06-07T00:00:00"/>
    <x v="1"/>
    <s v="Empire Restaurant"/>
    <s v="HSR Layout"/>
    <s v="Recommended"/>
    <s v="Malai Kofta"/>
    <s v="Veg"/>
    <n v="2750"/>
  </r>
  <r>
    <d v="2025-07-18T00:00:00"/>
    <x v="2"/>
    <s v="Meghana Foods"/>
    <s v="Jayanagar"/>
    <s v="North Indian Gravy"/>
    <s v="Dal Fry"/>
    <s v="Veg"/>
    <n v="2769.0909090909099"/>
  </r>
  <r>
    <d v="2025-08-30T00:00:00"/>
    <x v="3"/>
    <s v="Truffles"/>
    <s v="BTM Layout"/>
    <s v="North Indian Gravy"/>
    <s v="Veg Biryani"/>
    <s v="Veg"/>
    <n v="2788.1818181818198"/>
  </r>
  <r>
    <d v="2025-09-11T00:00:00"/>
    <x v="2"/>
    <s v="A2B Adyar Ananda Bhavan"/>
    <s v="Rajajinagar"/>
    <s v="South Indian"/>
    <s v="Paneer Tikka Masala"/>
    <s v="Veg"/>
    <n v="2807.2727272727302"/>
  </r>
  <r>
    <d v="2025-10-24T00:00:00"/>
    <x v="4"/>
    <s v="Udupi Grand"/>
    <s v="Yelahanka"/>
    <s v="South Indian"/>
    <s v="Navratan Korma"/>
    <s v="Veg"/>
    <n v="2826.3636363636401"/>
  </r>
  <r>
    <d v="2025-11-06T00:00:00"/>
    <x v="1"/>
    <s v="Nandhana Palace"/>
    <s v="Hebbal"/>
    <s v="Beverages"/>
    <s v="Mushroom Fried Rice"/>
    <s v="Veg"/>
    <n v="2845.45454545455"/>
  </r>
  <r>
    <d v="2025-12-19T00:00:00"/>
    <x v="2"/>
    <s v="Sukh Sagar"/>
    <s v="Banashankari"/>
    <s v="Dessert"/>
    <s v="Veg Noodles"/>
    <s v="Veg"/>
    <n v="2864.54545454546"/>
  </r>
  <r>
    <d v="2025-02-02T00:00:00"/>
    <x v="5"/>
    <s v="The Filter Coffee"/>
    <s v="Malleshwaram"/>
    <s v="Dessert"/>
    <s v="Crispy Corn"/>
    <s v="Veg"/>
    <n v="2883.636363636369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  <s v="Visakhapatnam"/>
  </r>
  <r>
    <x v="1"/>
    <s v="Vijayawada"/>
  </r>
  <r>
    <x v="1"/>
    <s v="Tirupati"/>
  </r>
  <r>
    <x v="1"/>
    <s v="Guntur"/>
  </r>
  <r>
    <x v="1"/>
    <s v="Kakinada"/>
  </r>
  <r>
    <x v="1"/>
    <s v="Nellore"/>
  </r>
  <r>
    <x v="1"/>
    <s v="Rajahmundry"/>
  </r>
  <r>
    <x v="1"/>
    <s v="Itanagar"/>
  </r>
  <r>
    <x v="2"/>
    <s v="Tawang"/>
  </r>
  <r>
    <x v="2"/>
    <s v="Pasighat"/>
  </r>
  <r>
    <x v="2"/>
    <s v="Bomdila"/>
  </r>
  <r>
    <x v="2"/>
    <s v="Ziro"/>
  </r>
  <r>
    <x v="3"/>
    <s v="Naharlagun"/>
  </r>
  <r>
    <x v="4"/>
    <s v="Roing"/>
  </r>
  <r>
    <x v="5"/>
    <s v="Shimla"/>
  </r>
  <r>
    <x v="6"/>
    <s v="Manali"/>
  </r>
  <r>
    <x v="7"/>
    <s v="Dharamshala"/>
  </r>
  <r>
    <x v="7"/>
    <s v="Mandi"/>
  </r>
  <r>
    <x v="7"/>
    <s v="Solan"/>
  </r>
  <r>
    <x v="7"/>
    <s v="Kullu"/>
  </r>
  <r>
    <x v="7"/>
    <s v="Bilaspur"/>
  </r>
  <r>
    <x v="7"/>
    <s v="Bhopal"/>
  </r>
  <r>
    <x v="7"/>
    <s v="Mumbai"/>
  </r>
  <r>
    <x v="8"/>
    <s v="Imphal"/>
  </r>
  <r>
    <x v="9"/>
    <s v="Shillong"/>
  </r>
  <r>
    <x v="10"/>
    <s v="Aizawl"/>
  </r>
  <r>
    <x v="10"/>
    <s v="Lunglei"/>
  </r>
  <r>
    <x v="10"/>
    <s v="Champhai"/>
  </r>
  <r>
    <x v="10"/>
    <s v="Kolasib"/>
  </r>
  <r>
    <x v="10"/>
    <s v="Serchhip"/>
  </r>
  <r>
    <x v="10"/>
    <s v="Saiha"/>
  </r>
  <r>
    <x v="10"/>
    <s v="Lawngtlai"/>
  </r>
  <r>
    <x v="11"/>
    <s v="Hyderabad"/>
  </r>
  <r>
    <x v="12"/>
    <s v="Warangal"/>
  </r>
  <r>
    <x v="13"/>
    <s v="Agartala"/>
  </r>
  <r>
    <x v="14"/>
    <s v="Lucknow"/>
  </r>
  <r>
    <x v="2"/>
    <s v="Kanpur"/>
  </r>
  <r>
    <x v="15"/>
    <s v="Varanasi"/>
  </r>
  <r>
    <x v="15"/>
    <s v="Prayagraj"/>
  </r>
  <r>
    <x v="15"/>
    <s v="Noida"/>
  </r>
  <r>
    <x v="15"/>
    <s v="Ghaziabad"/>
  </r>
  <r>
    <x v="15"/>
    <s v="Raipur"/>
  </r>
  <r>
    <x v="15"/>
    <s v="Panaji"/>
  </r>
  <r>
    <x v="15"/>
    <s v="Ahmedabad"/>
  </r>
  <r>
    <x v="7"/>
    <s v="Surat"/>
  </r>
  <r>
    <x v="16"/>
    <s v="Gurugram"/>
  </r>
  <r>
    <x v="17"/>
    <s v="Shimla"/>
  </r>
  <r>
    <x v="18"/>
    <s v="Ranchi"/>
  </r>
  <r>
    <x v="18"/>
    <s v="Jamshedpur"/>
  </r>
  <r>
    <x v="18"/>
    <s v="Dhanbad"/>
  </r>
  <r>
    <x v="18"/>
    <s v="Bokaro"/>
  </r>
  <r>
    <x v="18"/>
    <s v="Deoghar"/>
  </r>
  <r>
    <x v="18"/>
    <s v="Hazaribagh"/>
  </r>
  <r>
    <x v="10"/>
    <s v="Aizawl"/>
  </r>
  <r>
    <x v="19"/>
    <s v="Kohima"/>
  </r>
  <r>
    <x v="20"/>
    <s v="Bhubaneswar"/>
  </r>
  <r>
    <x v="21"/>
    <s v="Ludhiana"/>
  </r>
  <r>
    <x v="22"/>
    <s v="Amritsar"/>
  </r>
  <r>
    <x v="23"/>
    <s v="Jalandhar"/>
  </r>
  <r>
    <x v="8"/>
    <s v="Patiala"/>
  </r>
  <r>
    <x v="8"/>
    <s v="Mohali"/>
  </r>
  <r>
    <x v="8"/>
    <s v="Bathinda"/>
  </r>
  <r>
    <x v="8"/>
    <s v="Lucknow"/>
  </r>
  <r>
    <x v="20"/>
    <s v="Dehradun"/>
  </r>
  <r>
    <x v="0"/>
    <s v="Kolkata"/>
  </r>
  <r>
    <x v="1"/>
    <s v="Jaipur"/>
  </r>
  <r>
    <x v="24"/>
    <s v="Gangtok"/>
  </r>
  <r>
    <x v="25"/>
    <s v="Chennai"/>
  </r>
  <r>
    <x v="11"/>
    <s v="Hyderabad"/>
  </r>
  <r>
    <x v="12"/>
    <s v="Karimnagar"/>
  </r>
  <r>
    <x v="12"/>
    <s v="Nizamabad"/>
  </r>
  <r>
    <x v="14"/>
    <s v="Khammam"/>
  </r>
  <r>
    <x v="2"/>
    <s v="Kolkata"/>
  </r>
  <r>
    <x v="2"/>
    <s v="Visakhapatnam"/>
  </r>
  <r>
    <x v="2"/>
    <s v="Itanagar"/>
  </r>
  <r>
    <x v="2"/>
    <s v="Guwahati"/>
  </r>
  <r>
    <x v="21"/>
    <s v="Patna"/>
  </r>
  <r>
    <x v="22"/>
    <s v="Raipur"/>
  </r>
  <r>
    <x v="23"/>
    <s v="Panaji"/>
  </r>
  <r>
    <x v="8"/>
    <s v="Ahmedabad"/>
  </r>
  <r>
    <x v="9"/>
    <s v="Gurugram"/>
  </r>
  <r>
    <x v="10"/>
    <s v="Shimla"/>
  </r>
  <r>
    <x v="19"/>
    <s v="Mandi"/>
  </r>
  <r>
    <x v="20"/>
    <s v="Solan"/>
  </r>
  <r>
    <x v="0"/>
    <s v="Dharamshala"/>
  </r>
  <r>
    <x v="1"/>
    <s v="Gangtok"/>
  </r>
  <r>
    <x v="24"/>
    <s v="Chennai"/>
  </r>
  <r>
    <x v="25"/>
    <s v="Hyderabad"/>
  </r>
  <r>
    <x v="11"/>
    <s v="Agartala"/>
  </r>
  <r>
    <x v="12"/>
    <s v="Lucknow"/>
  </r>
  <r>
    <x v="13"/>
    <s v="Dehradun"/>
  </r>
  <r>
    <x v="14"/>
    <s v="Kolkata"/>
  </r>
  <r>
    <x v="2"/>
    <s v="Visakhapatnam"/>
  </r>
  <r>
    <x v="15"/>
    <s v="Itanagar"/>
  </r>
  <r>
    <x v="26"/>
    <s v="Guwahati"/>
  </r>
  <r>
    <x v="27"/>
    <s v="Patna"/>
  </r>
  <r>
    <x v="23"/>
    <s v="Raipur"/>
  </r>
  <r>
    <x v="23"/>
    <s v="Panaji"/>
  </r>
  <r>
    <x v="23"/>
    <s v="Ahmedabad"/>
  </r>
  <r>
    <x v="23"/>
    <s v="Gurugram"/>
  </r>
  <r>
    <x v="23"/>
    <s v="Shimla"/>
  </r>
  <r>
    <x v="11"/>
    <s v="Ranchi"/>
  </r>
  <r>
    <x v="11"/>
    <s v="Bengaluru"/>
  </r>
  <r>
    <x v="11"/>
    <s v="Chennai"/>
  </r>
  <r>
    <x v="11"/>
    <s v="Coimbatore"/>
  </r>
  <r>
    <x v="11"/>
    <s v="Madurai"/>
  </r>
  <r>
    <x v="11"/>
    <s v="Salem"/>
  </r>
  <r>
    <x v="12"/>
    <s v="Tiruchirappalli"/>
  </r>
  <r>
    <x v="12"/>
    <s v="Raipur"/>
  </r>
  <r>
    <x v="12"/>
    <s v="Bilaspur"/>
  </r>
  <r>
    <x v="12"/>
    <s v="Durg"/>
  </r>
  <r>
    <x v="12"/>
    <s v="Korba"/>
  </r>
  <r>
    <x v="12"/>
    <s v="Jagdalpur"/>
  </r>
  <r>
    <x v="24"/>
    <s v="Panaji"/>
  </r>
  <r>
    <x v="24"/>
    <s v="Margao"/>
  </r>
  <r>
    <x v="24"/>
    <s v="Vasco da Gama"/>
  </r>
  <r>
    <x v="24"/>
    <s v="Mapusa"/>
  </r>
  <r>
    <x v="24"/>
    <s v="Ponda"/>
  </r>
  <r>
    <x v="24"/>
    <s v="Guwahati"/>
  </r>
  <r>
    <x v="24"/>
    <s v="Dibrugarh"/>
  </r>
  <r>
    <x v="24"/>
    <s v="Silchar"/>
  </r>
  <r>
    <x v="7"/>
    <s v="Jorhat"/>
  </r>
  <r>
    <x v="7"/>
    <s v="Tezpur"/>
  </r>
  <r>
    <x v="7"/>
    <s v="Nagaon"/>
  </r>
  <r>
    <x v="7"/>
    <s v="Aizawl"/>
  </r>
  <r>
    <x v="7"/>
    <s v="Lunglei"/>
  </r>
  <r>
    <x v="7"/>
    <s v="Champhai"/>
  </r>
  <r>
    <x v="7"/>
    <s v="Kolasib"/>
  </r>
  <r>
    <x v="16"/>
    <s v="Serchhip"/>
  </r>
  <r>
    <x v="16"/>
    <s v="Saiha"/>
  </r>
  <r>
    <x v="16"/>
    <s v="Kohima"/>
  </r>
  <r>
    <x v="16"/>
    <s v="Dimapur"/>
  </r>
  <r>
    <x v="16"/>
    <s v="Mokokchung"/>
  </r>
  <r>
    <x v="16"/>
    <s v="Tuensang"/>
  </r>
  <r>
    <x v="16"/>
    <s v="Wokha"/>
  </r>
  <r>
    <x v="16"/>
    <s v="Zunheboto"/>
  </r>
  <r>
    <x v="25"/>
    <s v="Patna"/>
  </r>
  <r>
    <x v="25"/>
    <s v="Gaya"/>
  </r>
  <r>
    <x v="25"/>
    <s v="Muzaffarpur"/>
  </r>
  <r>
    <x v="25"/>
    <s v="Bhagalpur"/>
  </r>
  <r>
    <x v="25"/>
    <s v="Darbhanga"/>
  </r>
  <r>
    <x v="25"/>
    <s v="Purnia"/>
  </r>
  <r>
    <x v="25"/>
    <s v="Ara"/>
  </r>
  <r>
    <x v="25"/>
    <s v="Begusarai"/>
  </r>
  <r>
    <x v="25"/>
    <s v="Katihar"/>
  </r>
  <r>
    <x v="25"/>
    <s v="Sasaram"/>
  </r>
  <r>
    <x v="25"/>
    <s v="Sasaram"/>
  </r>
  <r>
    <x v="25"/>
    <s v="Sasaram"/>
  </r>
  <r>
    <x v="25"/>
    <s v="Sasaram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  <s v="Q1"/>
    <d v="2025-01-05T00:00:00"/>
    <s v="Sunday"/>
    <s v="Srinidhi Sagar Deluxe"/>
    <s v="Kengeri"/>
    <s v="Snack"/>
    <s v="Butter Chicken"/>
    <s v="Non Veg"/>
    <n v="55"/>
  </r>
  <r>
    <x v="1"/>
    <s v="Q1"/>
    <d v="2025-02-18T00:00:00"/>
    <s v="Tuesday"/>
    <s v="Empire Restaurant"/>
    <s v="Whitefield"/>
    <s v="Recommended"/>
    <s v="Chicken Curry"/>
    <s v="Non Veg"/>
    <n v="65"/>
  </r>
  <r>
    <x v="2"/>
    <s v="Q1"/>
    <d v="2025-03-27T00:00:00"/>
    <s v="Thursday"/>
    <s v="Meghana Foods"/>
    <s v="Electronic City"/>
    <s v="Recommended"/>
    <s v="Chicken Biryani"/>
    <s v="Non Veg"/>
    <n v="110"/>
  </r>
  <r>
    <x v="3"/>
    <s v="Q2"/>
    <d v="2025-04-11T00:00:00"/>
    <s v="Friday"/>
    <s v="Truffles"/>
    <s v="Koramangala"/>
    <s v="Recommended"/>
    <s v="Chicken Tikka Masala"/>
    <s v="Non Veg"/>
    <n v="75"/>
  </r>
  <r>
    <x v="4"/>
    <s v="Q2"/>
    <d v="2025-05-22T00:00:00"/>
    <s v="Thursday"/>
    <s v="A2B Adyar Ananda Bhavan"/>
    <s v="Indiranagar"/>
    <s v="Recommended"/>
    <s v="Chicken Korma"/>
    <s v="Non Veg"/>
    <n v="130"/>
  </r>
  <r>
    <x v="5"/>
    <s v="Q2"/>
    <d v="2025-06-09T00:00:00"/>
    <s v="Monday"/>
    <s v="Udupi Grand"/>
    <s v="Marathahalli"/>
    <s v="Recommended"/>
    <s v="Chicken Fried Rice"/>
    <s v="Non Veg"/>
    <n v="310"/>
  </r>
  <r>
    <x v="6"/>
    <s v="Q3"/>
    <d v="2025-07-15T00:00:00"/>
    <s v="Tuesday"/>
    <s v="Nandhana Palace"/>
    <s v="HSR Layout"/>
    <s v="Recommended"/>
    <s v="Chicken Noodles"/>
    <s v="Non Veg"/>
    <n v="95"/>
  </r>
  <r>
    <x v="7"/>
    <s v="Q3"/>
    <d v="2025-08-28T00:00:00"/>
    <s v="Thursday"/>
    <s v="Sukh Sagar"/>
    <s v="Jayanagar"/>
    <s v="Recommended"/>
    <s v="Chicken Lollipop"/>
    <s v="Non Veg"/>
    <n v="140"/>
  </r>
  <r>
    <x v="8"/>
    <s v="Q3"/>
    <d v="2025-09-03T00:00:00"/>
    <s v="Wednesday"/>
    <s v="The Filter Coffee"/>
    <s v="BTM Layout"/>
    <s v="North Indian Gravy"/>
    <s v="Chicken Manchurian"/>
    <s v="Non Veg"/>
    <n v="245"/>
  </r>
  <r>
    <x v="9"/>
    <s v="Q4"/>
    <d v="2025-10-19T00:00:00"/>
    <s v="Sunday"/>
    <s v="Brahmin's Coffee Bar"/>
    <s v="Rajajinagar"/>
    <s v="North Indian Gravy"/>
    <s v="Chicken 65"/>
    <s v="Non Veg"/>
    <n v="190"/>
  </r>
  <r>
    <x v="10"/>
    <s v="Q4"/>
    <d v="2025-11-07T00:00:00"/>
    <s v="Friday"/>
    <s v="MTR"/>
    <s v="Yelahanka"/>
    <s v="North Indian Gravy"/>
    <s v="Mutton Biryani"/>
    <s v="Non Veg"/>
    <n v="275"/>
  </r>
  <r>
    <x v="11"/>
    <s v="Q4"/>
    <d v="2025-12-24T00:00:00"/>
    <s v="Wednesday"/>
    <s v="Corner House"/>
    <s v="Hebbal"/>
    <s v="North Indian Gravy"/>
    <s v="Mutton Curry"/>
    <s v="Non Veg"/>
    <n v="268.18181818181802"/>
  </r>
  <r>
    <x v="12"/>
    <s v="Q1"/>
    <d v="2025-01-13T00:00:00"/>
    <s v="Monday"/>
    <s v="KFC"/>
    <s v="Banashankari"/>
    <s v="North Indian Gravy"/>
    <s v="Mutton Kebab"/>
    <s v="Non Veg"/>
    <n v="287.27272727272702"/>
  </r>
  <r>
    <x v="13"/>
    <s v="Q1"/>
    <d v="2025-02-26T00:00:00"/>
    <s v="Wednesday"/>
    <s v="McDonald's"/>
    <s v="Malleshwaram"/>
    <s v="North Indian Gravy"/>
    <s v="Mutton Rogan Josh"/>
    <s v="Non Veg"/>
    <n v="306.36363636363598"/>
  </r>
  <r>
    <x v="14"/>
    <s v="Q1"/>
    <d v="2025-03-08T00:00:00"/>
    <s v="Saturday"/>
    <s v="Domino's Pizza"/>
    <s v="Bellandur"/>
    <s v="North Indian Gravy"/>
    <s v="Fish Curry"/>
    <s v="Non Veg"/>
    <n v="325.45454545454498"/>
  </r>
  <r>
    <x v="15"/>
    <s v="Q2"/>
    <d v="2025-04-21T00:00:00"/>
    <s v="Monday"/>
    <s v="Pizza Hut"/>
    <s v="Kengeri"/>
    <s v="South Indian"/>
    <s v="Fish Fry"/>
    <s v="Non Veg"/>
    <n v="344.54545454545399"/>
  </r>
  <r>
    <x v="16"/>
    <s v="Q2"/>
    <d v="2025-05-02T00:00:00"/>
    <s v="Friday"/>
    <s v="Burger King"/>
    <s v="Whitefield"/>
    <s v="South Indian"/>
    <s v="Fish Biryani"/>
    <s v="Non Veg"/>
    <n v="363.636363636363"/>
  </r>
  <r>
    <x v="17"/>
    <s v="Q2"/>
    <d v="2025-06-17T00:00:00"/>
    <s v="Tuesday"/>
    <s v="Subway"/>
    <s v="Electronic City"/>
    <s v="South Indian"/>
    <s v="Prawn Masala"/>
    <s v="Non Veg"/>
    <n v="382.72727272727298"/>
  </r>
  <r>
    <x v="18"/>
    <s v="Q3"/>
    <d v="2025-07-29T00:00:00"/>
    <s v="Tuesday"/>
    <s v="Barbeque Nation"/>
    <s v="Koramangala"/>
    <s v="South Indian"/>
    <s v="Prawn Biryani"/>
    <s v="Non Veg"/>
    <n v="401.81818181818198"/>
  </r>
  <r>
    <x v="19"/>
    <s v="Q3"/>
    <d v="2025-08-14T00:00:00"/>
    <s v="Thursday"/>
    <s v="Absolute Barbecues"/>
    <s v="Indiranagar"/>
    <s v="South Indian"/>
    <s v="Egg Curry"/>
    <s v="Non Veg"/>
    <n v="420.90909090909099"/>
  </r>
  <r>
    <x v="20"/>
    <s v="Q3"/>
    <d v="2025-09-25T00:00:00"/>
    <s v="Thursday"/>
    <s v="Srinidhi Sagar Deluxe"/>
    <s v="Marathahalli"/>
    <s v="Beverages"/>
    <s v="Egg Bhurji"/>
    <s v="Non Veg"/>
    <n v="440"/>
  </r>
  <r>
    <x v="21"/>
    <s v="Q4"/>
    <d v="2025-10-10T00:00:00"/>
    <s v="Friday"/>
    <s v="Empire Restaurant"/>
    <s v="HSR Layout"/>
    <s v="Beverages"/>
    <s v="Egg Biryani"/>
    <s v="Non Veg"/>
    <n v="459.09090909090901"/>
  </r>
  <r>
    <x v="22"/>
    <s v="Q4"/>
    <d v="2025-11-18T00:00:00"/>
    <s v="Tuesday"/>
    <s v="Meghana Foods"/>
    <s v="Jayanagar"/>
    <s v="Beverages"/>
    <s v="Butter Chicken"/>
    <s v="Non Veg"/>
    <n v="478.18181818181802"/>
  </r>
  <r>
    <x v="23"/>
    <s v="Q4"/>
    <d v="2025-12-30T00:00:00"/>
    <s v="Tuesday"/>
    <s v="Truffles"/>
    <s v="BTM Layout"/>
    <s v="Dessert"/>
    <s v="Chicken Curry"/>
    <s v="Non Veg"/>
    <n v="497.27272727272702"/>
  </r>
  <r>
    <x v="24"/>
    <s v="Q1"/>
    <d v="2025-01-04T00:00:00"/>
    <s v="Saturday"/>
    <s v="A2B Adyar Ananda Bhavan"/>
    <s v="Rajajinagar"/>
    <s v="Dessert"/>
    <s v="Chicken Biryani"/>
    <s v="Non Veg"/>
    <n v="516.36363636363603"/>
  </r>
  <r>
    <x v="25"/>
    <s v="Q1"/>
    <d v="2025-02-16T00:00:00"/>
    <s v="Sunday"/>
    <s v="Udupi Grand"/>
    <s v="Yelahanka"/>
    <s v="Dessert"/>
    <s v="Chicken Tikka Masala"/>
    <s v="Non Veg"/>
    <n v="535.45454545454504"/>
  </r>
  <r>
    <x v="26"/>
    <s v="Q1"/>
    <d v="2025-03-23T00:00:00"/>
    <s v="Sunday"/>
    <s v="Nandhana Palace"/>
    <s v="Hebbal"/>
    <s v="Chinese"/>
    <s v="Chicken Korma"/>
    <s v="Non Veg"/>
    <n v="554.54545454545405"/>
  </r>
  <r>
    <x v="27"/>
    <s v="Q2"/>
    <d v="2025-04-06T00:00:00"/>
    <s v="Sunday"/>
    <s v="Sukh Sagar"/>
    <s v="Banashankari"/>
    <s v="Chinese"/>
    <s v="Chicken Fried Rice"/>
    <s v="Non Veg"/>
    <n v="573.63636363636294"/>
  </r>
  <r>
    <x v="28"/>
    <s v="Q2"/>
    <d v="2025-05-20T00:00:00"/>
    <s v="Sunday"/>
    <s v="The Filter Coffee"/>
    <s v="Malleshwaram"/>
    <s v="Chinese"/>
    <s v="Chicken Noodles"/>
    <s v="Non Veg"/>
    <n v="592.72727272727298"/>
  </r>
  <r>
    <x v="29"/>
    <s v="Q2"/>
    <d v="2025-06-12T00:00:00"/>
    <s v="Tuesday"/>
    <s v="Brahmin's Coffee Bar"/>
    <s v="Bellandur"/>
    <s v="Chinese"/>
    <s v="Chicken Lollipop"/>
    <s v="Non Veg"/>
    <n v="611.81818181818198"/>
  </r>
  <r>
    <x v="30"/>
    <s v="Q3"/>
    <d v="2025-07-27T00:00:00"/>
    <s v="Thursday"/>
    <s v="MTR"/>
    <s v="Kengeri"/>
    <s v="Snack"/>
    <s v="Chicken Manchurian"/>
    <s v="Non Veg"/>
    <n v="630.90909090909099"/>
  </r>
  <r>
    <x v="31"/>
    <s v="Q3"/>
    <d v="2025-08-09T00:00:00"/>
    <s v="Friday"/>
    <s v="Corner House"/>
    <s v="Whitefield"/>
    <s v="Recommended"/>
    <s v="Chicken 65"/>
    <s v="Non Veg"/>
    <n v="650"/>
  </r>
  <r>
    <x v="32"/>
    <s v="Q3"/>
    <d v="2025-09-22T00:00:00"/>
    <s v="Thursday"/>
    <s v="KFC"/>
    <s v="Electronic City"/>
    <s v="Recommended"/>
    <s v="Mutton Biryani"/>
    <s v="Non Veg"/>
    <n v="669.09090909090901"/>
  </r>
  <r>
    <x v="33"/>
    <s v="Q4"/>
    <d v="2025-10-05T00:00:00"/>
    <s v="Monday"/>
    <s v="McDonald's"/>
    <s v="Koramangala"/>
    <s v="Recommended"/>
    <s v="Mutton Curry"/>
    <s v="Non Veg"/>
    <n v="688.18181818181802"/>
  </r>
  <r>
    <x v="34"/>
    <s v="Q4"/>
    <d v="2025-11-17T00:00:00"/>
    <s v="Tuesday"/>
    <s v="Domino's Pizza"/>
    <s v="Indiranagar"/>
    <s v="Recommended"/>
    <s v="Mutton Kebab"/>
    <s v="Non Veg"/>
    <n v="707.27272727272702"/>
  </r>
  <r>
    <x v="35"/>
    <s v="Q4"/>
    <d v="2025-12-28T00:00:00"/>
    <s v="Thursday"/>
    <s v="Pizza Hut"/>
    <s v="Marathahalli"/>
    <s v="Recommended"/>
    <s v="Mutton Rogan Josh"/>
    <s v="Non Veg"/>
    <n v="726.36363636363603"/>
  </r>
  <r>
    <x v="36"/>
    <s v="Q1"/>
    <d v="2025-01-08T00:00:00"/>
    <s v="Wednesday"/>
    <s v="Burger King"/>
    <s v="HSR Layout"/>
    <s v="North Indian Gravy"/>
    <s v="Fish Curry"/>
    <s v="Non Veg"/>
    <n v="745.45454545454504"/>
  </r>
  <r>
    <x v="37"/>
    <s v="Q1"/>
    <d v="2025-02-19T00:00:00"/>
    <s v="Sunday"/>
    <s v="Subway"/>
    <s v="Jayanagar"/>
    <s v="North Indian Gravy"/>
    <s v="Fish Fry"/>
    <s v="Non Veg"/>
    <n v="764.54545454545405"/>
  </r>
  <r>
    <x v="38"/>
    <s v="Q1"/>
    <d v="2025-03-31T00:00:00"/>
    <s v="Friday"/>
    <s v="Barbeque Nation"/>
    <s v="BTM Layout"/>
    <s v="North Indian Gravy"/>
    <s v="Fish Biryani"/>
    <s v="Non Veg"/>
    <n v="783.63636363636294"/>
  </r>
  <r>
    <x v="39"/>
    <s v="Q2"/>
    <d v="2025-04-15T00:00:00"/>
    <s v="Wednesday"/>
    <s v="Absolute Barbecues"/>
    <s v="Rajajinagar"/>
    <s v="North Indian Gravy"/>
    <s v="Prawn Masala"/>
    <s v="Non Veg"/>
    <n v="802.72727272727298"/>
  </r>
  <r>
    <x v="40"/>
    <s v="Q2"/>
    <d v="2025-05-26T00:00:00"/>
    <s v="Monday"/>
    <s v="Srinidhi Sagar Deluxe"/>
    <s v="Yelahanka"/>
    <s v="South Indian"/>
    <s v="Prawn Biryani"/>
    <s v="Non Veg"/>
    <n v="821.81818181818198"/>
  </r>
  <r>
    <x v="41"/>
    <s v="Q2"/>
    <d v="2025-06-07T00:00:00"/>
    <s v="Wednesday"/>
    <s v="Empire Restaurant"/>
    <s v="Hebbal"/>
    <s v="South Indian"/>
    <s v="Egg Curry"/>
    <s v="Non Veg"/>
    <n v="840.90909090909099"/>
  </r>
  <r>
    <x v="42"/>
    <s v="Q3"/>
    <d v="2025-07-18T00:00:00"/>
    <s v="Saturday"/>
    <s v="Meghana Foods"/>
    <s v="Banashankari"/>
    <s v="South Indian"/>
    <s v="Egg Bhurji"/>
    <s v="Non Veg"/>
    <n v="860"/>
  </r>
  <r>
    <x v="43"/>
    <s v="Q3"/>
    <d v="2025-08-30T00:00:00"/>
    <s v="Monday"/>
    <s v="Truffles"/>
    <s v="Malleshwaram"/>
    <s v="Beverages"/>
    <s v="Egg Biryani"/>
    <s v="Non Veg"/>
    <n v="879.09090909090901"/>
  </r>
  <r>
    <x v="44"/>
    <s v="Q3"/>
    <d v="2025-09-11T00:00:00"/>
    <s v="Friday"/>
    <s v="A2B Adyar Ananda Bhavan"/>
    <s v="Bellandur"/>
    <s v="Beverages"/>
    <s v="Butter Chicken"/>
    <s v="Non Veg"/>
    <n v="898.18181818181802"/>
  </r>
  <r>
    <x v="45"/>
    <s v="Q4"/>
    <d v="2025-10-24T00:00:00"/>
    <s v="Tuesday"/>
    <s v="Udupi Grand"/>
    <s v="Kengeri"/>
    <s v="Dessert"/>
    <s v="Chicken Curry"/>
    <s v="Non Veg"/>
    <n v="917.27272727272702"/>
  </r>
  <r>
    <x v="14"/>
    <s v="Q4"/>
    <d v="2025-11-06T00:00:00"/>
    <s v="Tuesday"/>
    <s v="Nandhana Palace"/>
    <s v="Whitefield"/>
    <s v="Dessert"/>
    <s v="Chicken Biryani"/>
    <s v="Non Veg"/>
    <n v="936.36363636363603"/>
  </r>
  <r>
    <x v="46"/>
    <s v="Q4"/>
    <d v="2025-12-19T00:00:00"/>
    <s v="Thursday"/>
    <s v="Sukh Sagar"/>
    <s v="Electronic City"/>
    <s v="Chinese"/>
    <s v="Chicken Tikka Masala"/>
    <s v="Non Veg"/>
    <n v="955.45454545454504"/>
  </r>
  <r>
    <x v="47"/>
    <s v="Q1"/>
    <d v="2025-02-02T00:00:00"/>
    <s v="Thursday"/>
    <s v="The Filter Coffee"/>
    <s v="Koramangala"/>
    <s v="Chinese"/>
    <s v="Chicken Korma"/>
    <s v="Non Veg"/>
    <n v="974.54545454545405"/>
  </r>
  <r>
    <x v="48"/>
    <s v="Q1"/>
    <d v="2025-03-14T00:00:00"/>
    <s v="Friday"/>
    <s v="Brahmin's Coffee Bar"/>
    <s v="Indiranagar"/>
    <s v="Snack"/>
    <s v="Chicken Fried Rice"/>
    <s v="Non Veg"/>
    <n v="993.63636363636294"/>
  </r>
  <r>
    <x v="49"/>
    <s v="Q1"/>
    <d v="2025-01-05T00:00:00"/>
    <s v="Tuesday"/>
    <s v="MTR"/>
    <s v="Marathahalli"/>
    <s v="Recommended"/>
    <s v="Chicken Noodles"/>
    <s v="Non Veg"/>
    <n v="1012.72727272727"/>
  </r>
  <r>
    <x v="50"/>
    <s v="Q2"/>
    <d v="2025-02-18T00:00:00"/>
    <s v="Tuesday"/>
    <s v="Corner House"/>
    <s v="HSR Layout"/>
    <s v="Recommended"/>
    <s v="Chicken Lollipop"/>
    <s v="Non Veg"/>
    <n v="1031.8181818181799"/>
  </r>
  <r>
    <x v="51"/>
    <s v="Q2"/>
    <d v="2025-03-27T00:00:00"/>
    <s v="Saturday"/>
    <s v="KFC"/>
    <s v="Jayanagar"/>
    <s v="Recommended"/>
    <s v="Chicken Manchurian"/>
    <s v="Non Veg"/>
    <n v="1050.9090909090901"/>
  </r>
  <r>
    <x v="25"/>
    <s v="Q2"/>
    <d v="2025-04-11T00:00:00"/>
    <s v="Sunday"/>
    <s v="McDonald's"/>
    <s v="BTM Layout"/>
    <s v="North Indian Gravy"/>
    <s v="Chicken 65"/>
    <s v="Non Veg"/>
    <n v="1070"/>
  </r>
  <r>
    <x v="52"/>
    <s v="Q3"/>
    <d v="2025-05-22T00:00:00"/>
    <s v="Sunday"/>
    <s v="Domino's Pizza"/>
    <s v="Rajajinagar"/>
    <s v="North Indian Gravy"/>
    <s v="Mutton Biryani"/>
    <s v="Non Veg"/>
    <n v="1089.0909090909099"/>
  </r>
  <r>
    <x v="53"/>
    <s v="Q3"/>
    <d v="2025-06-09T00:00:00"/>
    <s v="Sunday"/>
    <s v="Pizza Hut"/>
    <s v="Yelahanka"/>
    <s v="North Indian Gravy"/>
    <s v="Mutton Curry"/>
    <s v="Non Veg"/>
    <n v="1108.1818181818201"/>
  </r>
  <r>
    <x v="54"/>
    <s v="Q3"/>
    <d v="2025-07-15T00:00:00"/>
    <s v="Sunday"/>
    <s v="Burger King"/>
    <s v="Hebbal"/>
    <s v="South Indian"/>
    <s v="Mutton Kebab"/>
    <s v="Non Veg"/>
    <n v="1127.27272727273"/>
  </r>
  <r>
    <x v="55"/>
    <s v="Q4"/>
    <d v="2025-08-28T00:00:00"/>
    <s v="Tuesday"/>
    <s v="Subway"/>
    <s v="Banashankari"/>
    <s v="South Indian"/>
    <s v="Mutton Rogan Josh"/>
    <s v="Non Veg"/>
    <n v="1146.3636363636399"/>
  </r>
  <r>
    <x v="56"/>
    <s v="Q4"/>
    <d v="2025-09-03T00:00:00"/>
    <s v="Thursday"/>
    <s v="Barbeque Nation"/>
    <s v="Malleshwaram"/>
    <s v="South Indian"/>
    <s v="Fish Curry"/>
    <s v="Non Veg"/>
    <n v="1165.45454545455"/>
  </r>
  <r>
    <x v="57"/>
    <s v="Q4"/>
    <d v="2025-10-19T00:00:00"/>
    <s v="Friday"/>
    <s v="Absolute Barbecues"/>
    <s v="Bellandur"/>
    <s v="Beverages"/>
    <s v="Fish Fry"/>
    <s v="Non Veg"/>
    <n v="1184.54545454546"/>
  </r>
  <r>
    <x v="58"/>
    <s v="Q1"/>
    <d v="2025-11-07T00:00:00"/>
    <s v="Thursday"/>
    <s v="Srinidhi Sagar Deluxe"/>
    <s v="Kengeri"/>
    <s v="Beverages"/>
    <s v="Fish Biryani"/>
    <s v="Non Veg"/>
    <n v="1203.6363636363701"/>
  </r>
  <r>
    <x v="59"/>
    <s v="Q1"/>
    <d v="2025-12-24T00:00:00"/>
    <s v="Monday"/>
    <s v="Empire Restaurant"/>
    <s v="Whitefield"/>
    <s v="Dessert"/>
    <s v="Prawn Masala"/>
    <s v="Non Veg"/>
    <n v="1222.72727272727"/>
  </r>
  <r>
    <x v="35"/>
    <s v="Q1"/>
    <d v="2025-01-13T00:00:00"/>
    <s v="Tuesday"/>
    <s v="Meghana Foods"/>
    <s v="Electronic City"/>
    <s v="Dessert"/>
    <s v="Prawn Biryani"/>
    <s v="Non Veg"/>
    <n v="1241.8181818181799"/>
  </r>
  <r>
    <x v="60"/>
    <s v="Q2"/>
    <d v="2025-02-26T00:00:00"/>
    <s v="Thursday"/>
    <s v="Truffles"/>
    <s v="Koramangala"/>
    <s v="Chinese"/>
    <s v="Egg Curry"/>
    <s v="Non Veg"/>
    <n v="1260.9090909090901"/>
  </r>
  <r>
    <x v="61"/>
    <s v="Q2"/>
    <d v="2025-03-08T00:00:00"/>
    <s v="Wednesday"/>
    <s v="A2B Adyar Ananda Bhavan"/>
    <s v="Indiranagar"/>
    <s v="Chinese"/>
    <s v="Egg Bhurji"/>
    <s v="Non Veg"/>
    <n v="1280"/>
  </r>
  <r>
    <x v="62"/>
    <s v="Q2"/>
    <d v="2025-04-21T00:00:00"/>
    <s v="Sunday"/>
    <s v="Udupi Grand"/>
    <s v="Marathahalli"/>
    <s v="Snack"/>
    <s v="Egg Biryani"/>
    <s v="Non Veg"/>
    <n v="1299.0909090909099"/>
  </r>
  <r>
    <x v="63"/>
    <s v="Q3"/>
    <d v="2025-05-02T00:00:00"/>
    <s v="Friday"/>
    <s v="Nandhana Palace"/>
    <s v="HSR Layout"/>
    <s v="Recommended"/>
    <s v="Butter Chicken"/>
    <s v="Non Veg"/>
    <n v="1318.1818181818201"/>
  </r>
  <r>
    <x v="64"/>
    <s v="Q3"/>
    <d v="2025-06-17T00:00:00"/>
    <s v="Wednesday"/>
    <s v="Sukh Sagar"/>
    <s v="Jayanagar"/>
    <s v="Recommended"/>
    <s v="Chicken Curry"/>
    <s v="Non Veg"/>
    <n v="1337.27272727273"/>
  </r>
  <r>
    <x v="32"/>
    <s v="Q3"/>
    <d v="2025-07-29T00:00:00"/>
    <s v="Monday"/>
    <s v="The Filter Coffee"/>
    <s v="BTM Layout"/>
    <s v="Recommended"/>
    <s v="Chicken Biryani"/>
    <s v="Non Veg"/>
    <n v="1356.3636363636399"/>
  </r>
  <r>
    <x v="65"/>
    <s v="Q4"/>
    <d v="2025-08-14T00:00:00"/>
    <s v="Wednesday"/>
    <s v="Brahmin's Coffee Bar"/>
    <s v="Rajajinagar"/>
    <s v="Recommended"/>
    <s v="Chicken Tikka Masala"/>
    <s v="Non Veg"/>
    <n v="1375.45454545455"/>
  </r>
  <r>
    <x v="66"/>
    <s v="Q4"/>
    <d v="2025-09-25T00:00:00"/>
    <s v="Saturday"/>
    <s v="MTR"/>
    <s v="Yelahanka"/>
    <s v="North Indian Gravy"/>
    <s v="Chicken Korma"/>
    <s v="Non Veg"/>
    <n v="1394.54545454546"/>
  </r>
  <r>
    <x v="67"/>
    <s v="Q4"/>
    <d v="2025-10-10T00:00:00"/>
    <s v="Monday"/>
    <s v="Corner House"/>
    <s v="Hebbal"/>
    <s v="North Indian Gravy"/>
    <s v="Chicken Fried Rice"/>
    <s v="Non Veg"/>
    <n v="1413.6363636363701"/>
  </r>
  <r>
    <x v="61"/>
    <s v="Q1"/>
    <d v="2025-11-18T00:00:00"/>
    <s v="Friday"/>
    <s v="KFC"/>
    <s v="Banashankari"/>
    <s v="North Indian Gravy"/>
    <s v="Chicken Noodles"/>
    <s v="Non Veg"/>
    <n v="1432.72727272727"/>
  </r>
  <r>
    <x v="0"/>
    <s v="Q1"/>
    <d v="2025-12-30T00:00:00"/>
    <s v="Tuesday"/>
    <s v="McDonald's"/>
    <s v="Malleshwaram"/>
    <s v="South Indian"/>
    <s v="Chicken Lollipop"/>
    <s v="Non Veg"/>
    <n v="1451.8181818181799"/>
  </r>
  <r>
    <x v="7"/>
    <s v="Q1"/>
    <d v="2025-01-04T00:00:00"/>
    <s v="Tuesday"/>
    <s v="Domino's Pizza"/>
    <s v="Bellandur"/>
    <s v="South Indian"/>
    <s v="Chicken Manchurian"/>
    <s v="Non Veg"/>
    <n v="1470.9090909090901"/>
  </r>
  <r>
    <x v="68"/>
    <s v="Q2"/>
    <d v="2025-02-16T00:00:00"/>
    <s v="Thursday"/>
    <s v="Pizza Hut"/>
    <s v="Kengeri"/>
    <s v="South Indian"/>
    <s v="Chicken 65"/>
    <s v="Non Veg"/>
    <n v="1490"/>
  </r>
  <r>
    <x v="69"/>
    <s v="Q2"/>
    <d v="2025-03-23T00:00:00"/>
    <s v="Thursday"/>
    <s v="Burger King"/>
    <s v="Whitefield"/>
    <s v="Beverages"/>
    <s v="Mutton Biryani"/>
    <s v="Non Veg"/>
    <n v="1509.0909090909099"/>
  </r>
  <r>
    <x v="41"/>
    <s v="Q2"/>
    <d v="2025-04-06T00:00:00"/>
    <s v="Friday"/>
    <s v="Subway"/>
    <s v="Electronic City"/>
    <s v="Beverages"/>
    <s v="Mutton Curry"/>
    <s v="Non Veg"/>
    <n v="1528.1818181818201"/>
  </r>
  <r>
    <x v="42"/>
    <s v="Q3"/>
    <d v="2025-05-20T00:00:00"/>
    <s v="Tuesday"/>
    <s v="Barbeque Nation"/>
    <s v="Koramangala"/>
    <s v="Dessert"/>
    <s v="Mutton Kebab"/>
    <s v="Non Veg"/>
    <n v="1547.27272727273"/>
  </r>
  <r>
    <x v="43"/>
    <s v="Q3"/>
    <d v="2025-06-12T00:00:00"/>
    <s v="Tuesday"/>
    <s v="Absolute Barbecues"/>
    <s v="Indiranagar"/>
    <s v="Dessert"/>
    <s v="Mutton Rogan Josh"/>
    <s v="Non Veg"/>
    <n v="1566.3636363636399"/>
  </r>
  <r>
    <x v="45"/>
    <s v="Q3"/>
    <d v="2025-07-27T00:00:00"/>
    <s v="Saturday"/>
    <s v="Srinidhi Sagar Deluxe"/>
    <s v="Marathahalli"/>
    <s v="Chinese"/>
    <s v="Fish Curry"/>
    <s v="Non Veg"/>
    <n v="1585.45454545455"/>
  </r>
  <r>
    <x v="14"/>
    <s v="Q4"/>
    <d v="2025-08-09T00:00:00"/>
    <s v="Sunday"/>
    <s v="Empire Restaurant"/>
    <s v="HSR Layout"/>
    <s v="Chinese"/>
    <s v="Fish Fry"/>
    <s v="Non Veg"/>
    <n v="1604.54545454546"/>
  </r>
  <r>
    <x v="17"/>
    <s v="Q4"/>
    <d v="2025-09-22T00:00:00"/>
    <s v="Sunday"/>
    <s v="Meghana Foods"/>
    <s v="Jayanagar"/>
    <s v="Snack"/>
    <s v="Fish Biryani"/>
    <s v="Non Veg"/>
    <n v="1623.6363636363701"/>
  </r>
  <r>
    <x v="18"/>
    <s v="Q4"/>
    <d v="2025-10-05T00:00:00"/>
    <s v="Sunday"/>
    <s v="Truffles"/>
    <s v="BTM Layout"/>
    <s v="Recommended"/>
    <s v="Prawn Masala"/>
    <s v="Non Veg"/>
    <n v="1642.72727272727"/>
  </r>
  <r>
    <x v="16"/>
    <s v="Q1"/>
    <d v="2025-11-17T00:00:00"/>
    <s v="Sunday"/>
    <s v="A2B Adyar Ananda Bhavan"/>
    <s v="Rajajinagar"/>
    <s v="Recommended"/>
    <s v="Prawn Biryani"/>
    <s v="Non Veg"/>
    <n v="1661.8181818181799"/>
  </r>
  <r>
    <x v="63"/>
    <s v="Q1"/>
    <d v="2025-12-28T00:00:00"/>
    <s v="Tuesday"/>
    <s v="Udupi Grand"/>
    <s v="Yelahanka"/>
    <s v="Recommended"/>
    <s v="Egg Curry"/>
    <s v="Non Veg"/>
    <n v="1680.9090909090901"/>
  </r>
  <r>
    <x v="64"/>
    <s v="Q1"/>
    <d v="2025-01-08T00:00:00"/>
    <s v="Thursday"/>
    <s v="Nandhana Palace"/>
    <s v="Hebbal"/>
    <s v="North Indian Gravy"/>
    <s v="Egg Bhurji"/>
    <s v="Non Veg"/>
    <n v="1700"/>
  </r>
  <r>
    <x v="32"/>
    <s v="Q2"/>
    <d v="2025-02-19T00:00:00"/>
    <s v="Friday"/>
    <s v="Sukh Sagar"/>
    <s v="Banashankari"/>
    <s v="North Indian Gravy"/>
    <s v="Egg Biryani"/>
    <s v="Non Veg"/>
    <n v="1719.0909090909099"/>
  </r>
  <r>
    <x v="34"/>
    <s v="Q2"/>
    <d v="2025-03-31T00:00:00"/>
    <s v="Thursday"/>
    <s v="The Filter Coffee"/>
    <s v="Malleshwaram"/>
    <s v="North Indian Gravy"/>
    <s v="Butter Chicken"/>
    <s v="Non Veg"/>
    <n v="1738.1818181818201"/>
  </r>
  <r>
    <x v="35"/>
    <s v="Q2"/>
    <d v="2025-04-15T00:00:00"/>
    <s v="Monday"/>
    <s v="Brahmin's Coffee Bar"/>
    <s v="Bellandur"/>
    <s v="South Indian"/>
    <s v="Chicken Curry"/>
    <s v="Non Veg"/>
    <n v="1757.27272727273"/>
  </r>
  <r>
    <x v="60"/>
    <s v="Q3"/>
    <d v="2025-05-26T00:00:00"/>
    <s v="Tuesday"/>
    <s v="MTR"/>
    <s v="Kengeri"/>
    <s v="South Indian"/>
    <s v="Chicken Biryani"/>
    <s v="Non Veg"/>
    <n v="1776.3636363636399"/>
  </r>
  <r>
    <x v="61"/>
    <s v="Q3"/>
    <d v="2025-06-07T00:00:00"/>
    <s v="Thursday"/>
    <s v="Corner House"/>
    <s v="Whitefield"/>
    <s v="South Indian"/>
    <s v="Chicken Tikka Masala"/>
    <s v="Non Veg"/>
    <n v="1795.45454545455"/>
  </r>
  <r>
    <x v="0"/>
    <s v="Q3"/>
    <d v="2025-07-18T00:00:00"/>
    <s v="Wednesday"/>
    <s v="KFC"/>
    <s v="Electronic City"/>
    <s v="Beverages"/>
    <s v="Chicken Korma"/>
    <s v="Non Veg"/>
    <n v="1814.54545454546"/>
  </r>
  <r>
    <x v="7"/>
    <s v="Q4"/>
    <d v="2025-08-30T00:00:00"/>
    <s v="Sunday"/>
    <s v="McDonald's"/>
    <s v="Koramangala"/>
    <s v="Beverages"/>
    <s v="Chicken Fried Rice"/>
    <s v="Non Veg"/>
    <n v="1833.6363636363701"/>
  </r>
  <r>
    <x v="68"/>
    <s v="Q4"/>
    <d v="2025-09-11T00:00:00"/>
    <s v="Friday"/>
    <s v="Domino's Pizza"/>
    <s v="Indiranagar"/>
    <s v="Dessert"/>
    <s v="Chicken Noodles"/>
    <s v="Non Veg"/>
    <n v="1852.72727272727"/>
  </r>
  <r>
    <x v="69"/>
    <s v="Q4"/>
    <d v="2025-10-24T00:00:00"/>
    <s v="Wednesday"/>
    <s v="Pizza Hut"/>
    <s v="Marathahalli"/>
    <s v="Dessert"/>
    <s v="Chicken Lollipop"/>
    <s v="Non Veg"/>
    <n v="1871.8181818181799"/>
  </r>
  <r>
    <x v="41"/>
    <s v="Q1"/>
    <d v="2025-11-06T00:00:00"/>
    <s v="Monday"/>
    <s v="Burger King"/>
    <s v="HSR Layout"/>
    <s v="Chinese"/>
    <s v="Chicken Manchurian"/>
    <s v="Non Veg"/>
    <n v="1890.9090909090901"/>
  </r>
  <r>
    <x v="42"/>
    <s v="Q1"/>
    <d v="2025-12-19T00:00:00"/>
    <s v="Wednesday"/>
    <s v="Subway"/>
    <s v="Jayanagar"/>
    <s v="Chinese"/>
    <s v="Chicken 65"/>
    <s v="Non Veg"/>
    <n v="1910"/>
  </r>
  <r>
    <x v="43"/>
    <s v="Q1"/>
    <d v="2025-02-02T00:00:00"/>
    <s v="Saturday"/>
    <s v="Barbeque Nation"/>
    <s v="BTM Layout"/>
    <s v="Snack"/>
    <s v="Mutton Biryani"/>
    <s v="Non Veg"/>
    <n v="1929.0909090909099"/>
  </r>
  <r>
    <x v="45"/>
    <s v="Q2"/>
    <d v="2025-03-14T00:00:00"/>
    <s v="Monday"/>
    <s v="Absolute Barbecues"/>
    <s v="Rajajinagar"/>
    <s v="Recommended"/>
    <s v="Mutton Curry"/>
    <s v="Non Veg"/>
    <n v="1948.1818181818201"/>
  </r>
  <r>
    <x v="14"/>
    <s v="Q2"/>
    <d v="2025-01-05T00:00:00"/>
    <s v="Friday"/>
    <s v="Srinidhi Sagar Deluxe"/>
    <s v="Yelahanka"/>
    <s v="Recommended"/>
    <s v="Mutton Kebab"/>
    <s v="Non Veg"/>
    <n v="1967.27272727273"/>
  </r>
  <r>
    <x v="46"/>
    <s v="Q2"/>
    <d v="2025-02-18T00:00:00"/>
    <s v="Tuesday"/>
    <s v="Empire Restaurant"/>
    <s v="Hebbal"/>
    <s v="Recommended"/>
    <s v="Mutton Rogan Josh"/>
    <s v="Non Veg"/>
    <n v="1986.3636363636399"/>
  </r>
  <r>
    <x v="70"/>
    <s v="Q3"/>
    <d v="2025-03-27T00:00:00"/>
    <s v="Tuesday"/>
    <s v="Meghana Foods"/>
    <s v="Banashankari"/>
    <s v="Recommended"/>
    <s v="Fish Curry"/>
    <s v="Non Veg"/>
    <n v="2005.45454545455"/>
  </r>
  <r>
    <x v="64"/>
    <s v="Q3"/>
    <d v="2025-04-11T00:00:00"/>
    <s v="Thursday"/>
    <s v="Truffles"/>
    <s v="Malleshwaram"/>
    <s v="Recommended"/>
    <s v="Fish Fry"/>
    <s v="Non Veg"/>
    <n v="2024.54545454546"/>
  </r>
  <r>
    <x v="71"/>
    <s v="Q3"/>
    <d v="2025-05-22T00:00:00"/>
    <s v="Thursday"/>
    <s v="A2B Adyar Ananda Bhavan"/>
    <s v="Bellandur"/>
    <s v="North Indian Gravy"/>
    <s v="Fish Biryani"/>
    <s v="Non Veg"/>
    <n v="2043.6363636363701"/>
  </r>
  <r>
    <x v="72"/>
    <s v="Q4"/>
    <d v="2025-06-09T00:00:00"/>
    <s v="Friday"/>
    <s v="Udupi Grand"/>
    <s v="Kengeri"/>
    <s v="North Indian Gravy"/>
    <s v="Prawn Masala"/>
    <s v="Non Veg"/>
    <n v="2062.7272727272698"/>
  </r>
  <r>
    <x v="73"/>
    <s v="Q4"/>
    <d v="2025-07-15T00:00:00"/>
    <s v="Tuesday"/>
    <s v="Nandhana Palace"/>
    <s v="Whitefield"/>
    <s v="North Indian Gravy"/>
    <s v="Prawn Biryani"/>
    <s v="Non Veg"/>
    <n v="2081.8181818181802"/>
  </r>
  <r>
    <x v="74"/>
    <s v="Q4"/>
    <d v="2025-08-28T00:00:00"/>
    <s v="Tuesday"/>
    <s v="Sukh Sagar"/>
    <s v="Electronic City"/>
    <s v="North Indian Gravy"/>
    <s v="Egg Curry"/>
    <s v="Non Veg"/>
    <n v="2100.9090909090901"/>
  </r>
  <r>
    <x v="41"/>
    <s v="Q1"/>
    <d v="2025-09-03T00:00:00"/>
    <s v="Saturday"/>
    <s v="The Filter Coffee"/>
    <s v="Koramangala"/>
    <s v="South Indian"/>
    <s v="Egg Bhurji"/>
    <s v="Non Veg"/>
    <n v="2120"/>
  </r>
  <r>
    <x v="20"/>
    <s v="Q1"/>
    <d v="2025-10-19T00:00:00"/>
    <s v="Sunday"/>
    <s v="Brahmin's Coffee Bar"/>
    <s v="Indiranagar"/>
    <s v="South Indian"/>
    <s v="Egg Biryani"/>
    <s v="Non Veg"/>
    <n v="2139.0909090909099"/>
  </r>
  <r>
    <x v="75"/>
    <s v="Q1"/>
    <d v="2025-11-07T00:00:00"/>
    <s v="Sunday"/>
    <s v="MTR"/>
    <s v="Marathahalli"/>
    <s v="South Indian"/>
    <s v="Butter Chicken"/>
    <s v="Non Veg"/>
    <n v="2158.1818181818198"/>
  </r>
  <r>
    <x v="76"/>
    <s v="Q2"/>
    <d v="2025-12-24T00:00:00"/>
    <s v="Sunday"/>
    <s v="Corner House"/>
    <s v="HSR Layout"/>
    <s v="South Indian"/>
    <s v="Chicken Curry"/>
    <s v="Non Veg"/>
    <n v="2177.2727272727302"/>
  </r>
  <r>
    <x v="77"/>
    <s v="Q2"/>
    <d v="2025-01-13T00:00:00"/>
    <s v="Sunday"/>
    <s v="KFC"/>
    <s v="Jayanagar"/>
    <s v="Beverages"/>
    <s v="Chicken Biryani"/>
    <s v="Non Veg"/>
    <n v="2196.3636363636401"/>
  </r>
  <r>
    <x v="42"/>
    <s v="Q2"/>
    <d v="2025-02-26T00:00:00"/>
    <s v="Tuesday"/>
    <s v="McDonald's"/>
    <s v="BTM Layout"/>
    <s v="Beverages"/>
    <s v="Chicken Tikka Masala"/>
    <s v="Non Veg"/>
    <n v="2215.45454545455"/>
  </r>
  <r>
    <x v="78"/>
    <s v="Q3"/>
    <d v="2025-03-08T00:00:00"/>
    <s v="Thursday"/>
    <s v="Domino's Pizza"/>
    <s v="Rajajinagar"/>
    <s v="Dessert"/>
    <s v="Chicken Korma"/>
    <s v="Non Veg"/>
    <n v="2234.54545454546"/>
  </r>
  <r>
    <x v="79"/>
    <s v="Q3"/>
    <d v="2025-04-21T00:00:00"/>
    <s v="Friday"/>
    <s v="Pizza Hut"/>
    <s v="Yelahanka"/>
    <s v="Dessert"/>
    <s v="Chicken Fried Rice"/>
    <s v="Non Veg"/>
    <n v="2253.6363636363699"/>
  </r>
  <r>
    <x v="80"/>
    <s v="Q3"/>
    <d v="2025-05-02T00:00:00"/>
    <s v="Thursday"/>
    <s v="Burger King"/>
    <s v="Hebbal"/>
    <s v="Chinese"/>
    <s v="Chicken Noodles"/>
    <s v="Non Veg"/>
    <n v="2272.7272727272698"/>
  </r>
  <r>
    <x v="81"/>
    <s v="Q4"/>
    <d v="2025-06-17T00:00:00"/>
    <s v="Monday"/>
    <s v="Subway"/>
    <s v="Banashankari"/>
    <s v="Chinese"/>
    <s v="Chicken Lollipop"/>
    <s v="Non Veg"/>
    <n v="2291.8181818181802"/>
  </r>
  <r>
    <x v="68"/>
    <s v="Q4"/>
    <d v="2025-07-29T00:00:00"/>
    <s v="Tuesday"/>
    <s v="Barbeque Nation"/>
    <s v="Malleshwaram"/>
    <s v="Snack"/>
    <s v="Paneer Butter Masala"/>
    <s v="Veg"/>
    <n v="2310.9090909090901"/>
  </r>
  <r>
    <x v="82"/>
    <s v="Q4"/>
    <d v="2025-08-14T00:00:00"/>
    <s v="Thursday"/>
    <s v="Absolute Barbecues"/>
    <s v="Bellandur"/>
    <s v="Recommended"/>
    <s v="Palak Paneer"/>
    <s v="Veg"/>
    <n v="2330"/>
  </r>
  <r>
    <x v="83"/>
    <s v="Q1"/>
    <d v="2025-09-25T00:00:00"/>
    <s v="Wednesday"/>
    <s v="Srinidhi Sagar Deluxe"/>
    <s v="Kengeri"/>
    <s v="Recommended"/>
    <s v="Paneer Tikka Masala"/>
    <s v="Veg"/>
    <n v="2349.0909090909099"/>
  </r>
  <r>
    <x v="84"/>
    <s v="Q1"/>
    <d v="2025-10-10T00:00:00"/>
    <s v="Sunday"/>
    <s v="Empire Restaurant"/>
    <s v="Whitefield"/>
    <s v="Recommended"/>
    <s v="Paneer Korma"/>
    <s v="Veg"/>
    <n v="2368.1818181818198"/>
  </r>
  <r>
    <x v="85"/>
    <s v="Q1"/>
    <d v="2025-11-18T00:00:00"/>
    <s v="Friday"/>
    <s v="Meghana Foods"/>
    <s v="Electronic City"/>
    <s v="North Indian Gravy"/>
    <s v="Paneer Fried Rice"/>
    <s v="Veg"/>
    <n v="2387.2727272727302"/>
  </r>
  <r>
    <x v="86"/>
    <s v="Q2"/>
    <d v="2025-12-30T00:00:00"/>
    <s v="Wednesday"/>
    <s v="Truffles"/>
    <s v="Koramangala"/>
    <s v="North Indian Gravy"/>
    <s v="Hakka Noodles"/>
    <s v="Veg"/>
    <n v="2406.3636363636401"/>
  </r>
  <r>
    <x v="25"/>
    <s v="Q2"/>
    <d v="2025-01-04T00:00:00"/>
    <s v="Monday"/>
    <s v="A2B Adyar Ananda Bhavan"/>
    <s v="Indiranagar"/>
    <s v="South Indian"/>
    <s v="Veg Lollipop"/>
    <s v="Veg"/>
    <n v="2425.45454545455"/>
  </r>
  <r>
    <x v="26"/>
    <s v="Q2"/>
    <d v="2025-02-16T00:00:00"/>
    <s v="Wednesday"/>
    <s v="Udupi Grand"/>
    <s v="Marathahalli"/>
    <s v="South Indian"/>
    <s v="Veg Manchurian"/>
    <s v="Veg"/>
    <n v="2444.54545454546"/>
  </r>
  <r>
    <x v="27"/>
    <s v="Q3"/>
    <d v="2025-03-23T00:00:00"/>
    <s v="Saturday"/>
    <s v="Nandhana Palace"/>
    <s v="HSR Layout"/>
    <s v="Beverages"/>
    <s v="Chilli Paneer"/>
    <s v="Veg"/>
    <n v="2463.6363636363699"/>
  </r>
  <r>
    <x v="28"/>
    <s v="Q3"/>
    <d v="2025-04-06T00:00:00"/>
    <s v="Monday"/>
    <s v="Sukh Sagar"/>
    <s v="Jayanagar"/>
    <s v="Dessert"/>
    <s v="Veg Biryani"/>
    <s v="Veg"/>
    <n v="2482.7272727272698"/>
  </r>
  <r>
    <x v="29"/>
    <s v="Q3"/>
    <d v="2025-05-20T00:00:00"/>
    <s v="Friday"/>
    <s v="The Filter Coffee"/>
    <s v="BTM Layout"/>
    <s v="Chinese"/>
    <s v="Dal Makhani"/>
    <s v="Veg"/>
    <n v="2501.8181818181802"/>
  </r>
  <r>
    <x v="30"/>
    <s v="Q4"/>
    <d v="2025-06-12T00:00:00"/>
    <s v="Tuesday"/>
    <s v="Brahmin's Coffee Bar"/>
    <s v="Rajajinagar"/>
    <s v="Snack"/>
    <s v="Paneer Kebab"/>
    <s v="Veg"/>
    <n v="2520.9090909090901"/>
  </r>
  <r>
    <x v="52"/>
    <s v="Q4"/>
    <d v="2025-07-27T00:00:00"/>
    <s v="Tuesday"/>
    <s v="MTR"/>
    <s v="Yelahanka"/>
    <s v="Recommended"/>
    <s v="Mushroom Masala"/>
    <s v="Veg"/>
    <n v="2540"/>
  </r>
  <r>
    <x v="87"/>
    <s v="Q4"/>
    <d v="2025-08-09T00:00:00"/>
    <s v="Thursday"/>
    <s v="Corner House"/>
    <s v="Hebbal"/>
    <s v="Recommended"/>
    <s v="Veg Kurma"/>
    <s v="Veg"/>
    <n v="2559.0909090909099"/>
  </r>
  <r>
    <x v="88"/>
    <s v="Q1"/>
    <d v="2025-09-22T00:00:00"/>
    <s v="Thursday"/>
    <s v="KFC"/>
    <s v="Banashankari"/>
    <s v="North Indian Gravy"/>
    <s v="Chana Masala"/>
    <s v="Veg"/>
    <n v="2578.1818181818198"/>
  </r>
  <r>
    <x v="89"/>
    <s v="Q2"/>
    <d v="2025-10-05T00:00:00"/>
    <s v="Friday"/>
    <s v="McDonald's"/>
    <s v="Malleshwaram"/>
    <s v="North Indian Gravy"/>
    <s v="Aloo Fry"/>
    <s v="Veg"/>
    <n v="2597.2727272727302"/>
  </r>
  <r>
    <x v="90"/>
    <s v="Q3"/>
    <d v="2025-11-17T00:00:00"/>
    <s v="Tuesday"/>
    <s v="Domino's Pizza"/>
    <s v="Bellandur"/>
    <s v="South Indian"/>
    <s v="Jeera Rice"/>
    <s v="Veg"/>
    <n v="2616.3636363636401"/>
  </r>
  <r>
    <x v="91"/>
    <s v="Q4"/>
    <d v="2025-12-28T00:00:00"/>
    <s v="Tuesday"/>
    <s v="Pizza Hut"/>
    <s v="Kengeri"/>
    <s v="South Indian"/>
    <s v="Mix Veg Biryani"/>
    <s v="Veg"/>
    <n v="2635.45454545455"/>
  </r>
  <r>
    <x v="69"/>
    <s v="Q1"/>
    <d v="2025-01-08T00:00:00"/>
    <s v="Saturday"/>
    <s v="Burger King"/>
    <s v="Whitefield"/>
    <s v="Beverages"/>
    <s v="Veg Kofta"/>
    <s v="Veg"/>
    <n v="2654.54545454546"/>
  </r>
  <r>
    <x v="92"/>
    <s v="Q2"/>
    <d v="2025-02-19T00:00:00"/>
    <s v="Sunday"/>
    <s v="Subway"/>
    <s v="Electronic City"/>
    <s v="Dessert"/>
    <s v="Veg Pulao"/>
    <s v="Veg"/>
    <n v="2673.6363636363699"/>
  </r>
  <r>
    <x v="93"/>
    <s v="Q3"/>
    <d v="2025-03-31T00:00:00"/>
    <s v="Sunday"/>
    <s v="Barbeque Nation"/>
    <s v="Koramangala"/>
    <s v="Chinese"/>
    <s v="Eggless Curry"/>
    <s v="Veg"/>
    <n v="2692.7272727272698"/>
  </r>
  <r>
    <x v="94"/>
    <s v="Q4"/>
    <d v="2025-04-15T00:00:00"/>
    <s v="Sunday"/>
    <s v="Absolute Barbecues"/>
    <s v="Indiranagar"/>
    <s v="Snack"/>
    <s v="Paneer Bhurji"/>
    <s v="Veg"/>
    <n v="2711.8181818181802"/>
  </r>
  <r>
    <x v="95"/>
    <s v="Q1"/>
    <d v="2025-05-26T00:00:00"/>
    <s v="Sunday"/>
    <s v="Srinidhi Sagar Deluxe"/>
    <s v="Marathahalli"/>
    <s v="Recommended"/>
    <s v="Kashmiri Pulao"/>
    <s v="Veg"/>
    <n v="2730.9090909090901"/>
  </r>
  <r>
    <x v="96"/>
    <s v="Q2"/>
    <d v="2025-06-07T00:00:00"/>
    <s v="Tuesday"/>
    <s v="Empire Restaurant"/>
    <s v="HSR Layout"/>
    <s v="Recommended"/>
    <s v="Malai Kofta"/>
    <s v="Veg"/>
    <n v="2750"/>
  </r>
  <r>
    <x v="97"/>
    <s v="Q3"/>
    <d v="2025-07-18T00:00:00"/>
    <s v="Thursday"/>
    <s v="Meghana Foods"/>
    <s v="Jayanagar"/>
    <s v="North Indian Gravy"/>
    <s v="Dal Fry"/>
    <s v="Veg"/>
    <n v="2769.0909090909099"/>
  </r>
  <r>
    <x v="98"/>
    <s v="Q4"/>
    <d v="2025-08-30T00:00:00"/>
    <s v="Friday"/>
    <s v="Truffles"/>
    <s v="BTM Layout"/>
    <s v="North Indian Gravy"/>
    <s v="Veg Biryani"/>
    <s v="Veg"/>
    <n v="2788.1818181818198"/>
  </r>
  <r>
    <x v="99"/>
    <s v="Q1"/>
    <d v="2025-09-11T00:00:00"/>
    <s v="Thursday"/>
    <s v="A2B Adyar Ananda Bhavan"/>
    <s v="Rajajinagar"/>
    <s v="South Indian"/>
    <s v="Paneer Tikka Masala"/>
    <s v="Veg"/>
    <n v="2807.2727272727302"/>
  </r>
  <r>
    <x v="100"/>
    <s v="Q2"/>
    <d v="2025-10-24T00:00:00"/>
    <s v="Monday"/>
    <s v="Udupi Grand"/>
    <s v="Yelahanka"/>
    <s v="South Indian"/>
    <s v="Navratan Korma"/>
    <s v="Veg"/>
    <n v="2826.3636363636401"/>
  </r>
  <r>
    <x v="100"/>
    <s v="Q3"/>
    <d v="2025-11-06T00:00:00"/>
    <s v="Tuesday"/>
    <s v="Nandhana Palace"/>
    <s v="Hebbal"/>
    <s v="Beverages"/>
    <s v="Mushroom Fried Rice"/>
    <s v="Veg"/>
    <n v="2845.45454545455"/>
  </r>
  <r>
    <x v="100"/>
    <s v="Q4"/>
    <d v="2025-12-19T00:00:00"/>
    <s v="Thursday"/>
    <s v="Sukh Sagar"/>
    <s v="Banashankari"/>
    <s v="Dessert"/>
    <s v="Veg Noodles"/>
    <s v="Veg"/>
    <n v="2864.54545454546"/>
  </r>
  <r>
    <x v="100"/>
    <s v="Q1"/>
    <d v="2025-02-02T00:00:00"/>
    <s v="Wednesday"/>
    <s v="The Filter Coffee"/>
    <s v="Malleshwaram"/>
    <s v="Dessert"/>
    <s v="Crispy Corn"/>
    <s v="Veg"/>
    <n v="2883.6363636363699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  <s v="Non Veg"/>
    <n v="55"/>
  </r>
  <r>
    <x v="1"/>
    <s v="Non Veg"/>
    <n v="65"/>
  </r>
  <r>
    <x v="2"/>
    <s v="Non Veg"/>
    <n v="110"/>
  </r>
  <r>
    <x v="3"/>
    <s v="Non Veg"/>
    <n v="75"/>
  </r>
  <r>
    <x v="4"/>
    <s v="Non Veg"/>
    <n v="130"/>
  </r>
  <r>
    <x v="5"/>
    <s v="Non Veg"/>
    <n v="310"/>
  </r>
  <r>
    <x v="6"/>
    <s v="Non Veg"/>
    <n v="95"/>
  </r>
  <r>
    <x v="7"/>
    <s v="Non Veg"/>
    <n v="140"/>
  </r>
  <r>
    <x v="8"/>
    <s v="Non Veg"/>
    <n v="245"/>
  </r>
  <r>
    <x v="9"/>
    <s v="Non Veg"/>
    <n v="190"/>
  </r>
  <r>
    <x v="10"/>
    <s v="Non Veg"/>
    <n v="275"/>
  </r>
  <r>
    <x v="11"/>
    <s v="Non Veg"/>
    <n v="268.18181818181802"/>
  </r>
  <r>
    <x v="12"/>
    <s v="Non Veg"/>
    <n v="287.27272727272702"/>
  </r>
  <r>
    <x v="13"/>
    <s v="Non Veg"/>
    <n v="306.36363636363598"/>
  </r>
  <r>
    <x v="14"/>
    <s v="Non Veg"/>
    <n v="325.45454545454498"/>
  </r>
  <r>
    <x v="15"/>
    <s v="Non Veg"/>
    <n v="344.54545454545399"/>
  </r>
  <r>
    <x v="16"/>
    <s v="Non Veg"/>
    <n v="363.636363636363"/>
  </r>
  <r>
    <x v="17"/>
    <s v="Non Veg"/>
    <n v="382.72727272727298"/>
  </r>
  <r>
    <x v="18"/>
    <s v="Non Veg"/>
    <n v="401.81818181818198"/>
  </r>
  <r>
    <x v="19"/>
    <s v="Non Veg"/>
    <n v="420.90909090909099"/>
  </r>
  <r>
    <x v="20"/>
    <s v="Non Veg"/>
    <n v="440"/>
  </r>
  <r>
    <x v="21"/>
    <s v="Non Veg"/>
    <n v="459.09090909090901"/>
  </r>
  <r>
    <x v="0"/>
    <s v="Non Veg"/>
    <n v="478.18181818181802"/>
  </r>
  <r>
    <x v="1"/>
    <s v="Non Veg"/>
    <n v="497.27272727272702"/>
  </r>
  <r>
    <x v="2"/>
    <s v="Non Veg"/>
    <n v="516.36363636363603"/>
  </r>
  <r>
    <x v="3"/>
    <s v="Non Veg"/>
    <n v="535.45454545454504"/>
  </r>
  <r>
    <x v="4"/>
    <s v="Non Veg"/>
    <n v="554.54545454545405"/>
  </r>
  <r>
    <x v="5"/>
    <s v="Non Veg"/>
    <n v="573.63636363636294"/>
  </r>
  <r>
    <x v="6"/>
    <s v="Non Veg"/>
    <n v="592.72727272727298"/>
  </r>
  <r>
    <x v="7"/>
    <s v="Non Veg"/>
    <n v="611.81818181818198"/>
  </r>
  <r>
    <x v="8"/>
    <s v="Non Veg"/>
    <n v="630.90909090909099"/>
  </r>
  <r>
    <x v="9"/>
    <s v="Non Veg"/>
    <n v="650"/>
  </r>
  <r>
    <x v="10"/>
    <s v="Non Veg"/>
    <n v="669.09090909090901"/>
  </r>
  <r>
    <x v="11"/>
    <s v="Non Veg"/>
    <n v="688.18181818181802"/>
  </r>
  <r>
    <x v="12"/>
    <s v="Non Veg"/>
    <n v="707.27272727272702"/>
  </r>
  <r>
    <x v="13"/>
    <s v="Non Veg"/>
    <n v="726.36363636363603"/>
  </r>
  <r>
    <x v="14"/>
    <s v="Non Veg"/>
    <n v="745.45454545454504"/>
  </r>
  <r>
    <x v="15"/>
    <s v="Non Veg"/>
    <n v="764.54545454545405"/>
  </r>
  <r>
    <x v="16"/>
    <s v="Non Veg"/>
    <n v="783.63636363636294"/>
  </r>
  <r>
    <x v="17"/>
    <s v="Non Veg"/>
    <n v="802.72727272727298"/>
  </r>
  <r>
    <x v="18"/>
    <s v="Non Veg"/>
    <n v="821.81818181818198"/>
  </r>
  <r>
    <x v="19"/>
    <s v="Non Veg"/>
    <n v="840.90909090909099"/>
  </r>
  <r>
    <x v="20"/>
    <s v="Non Veg"/>
    <n v="860"/>
  </r>
  <r>
    <x v="21"/>
    <s v="Non Veg"/>
    <n v="879.09090909090901"/>
  </r>
  <r>
    <x v="0"/>
    <s v="Non Veg"/>
    <n v="898.18181818181802"/>
  </r>
  <r>
    <x v="1"/>
    <s v="Non Veg"/>
    <n v="917.27272727272702"/>
  </r>
  <r>
    <x v="2"/>
    <s v="Non Veg"/>
    <n v="936.36363636363603"/>
  </r>
  <r>
    <x v="3"/>
    <s v="Non Veg"/>
    <n v="955.45454545454504"/>
  </r>
  <r>
    <x v="4"/>
    <s v="Non Veg"/>
    <n v="974.54545454545405"/>
  </r>
  <r>
    <x v="5"/>
    <s v="Non Veg"/>
    <n v="993.63636363636294"/>
  </r>
  <r>
    <x v="6"/>
    <s v="Non Veg"/>
    <n v="1012.72727272727"/>
  </r>
  <r>
    <x v="7"/>
    <s v="Non Veg"/>
    <n v="1031.8181818181799"/>
  </r>
  <r>
    <x v="8"/>
    <s v="Non Veg"/>
    <n v="1050.9090909090901"/>
  </r>
  <r>
    <x v="9"/>
    <s v="Non Veg"/>
    <n v="1070"/>
  </r>
  <r>
    <x v="10"/>
    <s v="Non Veg"/>
    <n v="1089.0909090909099"/>
  </r>
  <r>
    <x v="11"/>
    <s v="Non Veg"/>
    <n v="1108.1818181818201"/>
  </r>
  <r>
    <x v="12"/>
    <s v="Non Veg"/>
    <n v="1127.27272727273"/>
  </r>
  <r>
    <x v="13"/>
    <s v="Non Veg"/>
    <n v="1146.3636363636399"/>
  </r>
  <r>
    <x v="14"/>
    <s v="Non Veg"/>
    <n v="1165.45454545455"/>
  </r>
  <r>
    <x v="15"/>
    <s v="Non Veg"/>
    <n v="1184.54545454546"/>
  </r>
  <r>
    <x v="16"/>
    <s v="Non Veg"/>
    <n v="1203.6363636363701"/>
  </r>
  <r>
    <x v="17"/>
    <s v="Non Veg"/>
    <n v="1222.72727272727"/>
  </r>
  <r>
    <x v="18"/>
    <s v="Non Veg"/>
    <n v="1241.8181818181799"/>
  </r>
  <r>
    <x v="19"/>
    <s v="Non Veg"/>
    <n v="1260.9090909090901"/>
  </r>
  <r>
    <x v="20"/>
    <s v="Non Veg"/>
    <n v="1280"/>
  </r>
  <r>
    <x v="21"/>
    <s v="Non Veg"/>
    <n v="1299.0909090909099"/>
  </r>
  <r>
    <x v="0"/>
    <s v="Non Veg"/>
    <n v="1318.1818181818201"/>
  </r>
  <r>
    <x v="1"/>
    <s v="Non Veg"/>
    <n v="1337.27272727273"/>
  </r>
  <r>
    <x v="2"/>
    <s v="Non Veg"/>
    <n v="1356.3636363636399"/>
  </r>
  <r>
    <x v="3"/>
    <s v="Non Veg"/>
    <n v="1375.45454545455"/>
  </r>
  <r>
    <x v="4"/>
    <s v="Non Veg"/>
    <n v="1394.54545454546"/>
  </r>
  <r>
    <x v="5"/>
    <s v="Non Veg"/>
    <n v="1413.6363636363701"/>
  </r>
  <r>
    <x v="6"/>
    <s v="Non Veg"/>
    <n v="1432.72727272727"/>
  </r>
  <r>
    <x v="7"/>
    <s v="Non Veg"/>
    <n v="1451.8181818181799"/>
  </r>
  <r>
    <x v="8"/>
    <s v="Non Veg"/>
    <n v="1470.9090909090901"/>
  </r>
  <r>
    <x v="9"/>
    <s v="Non Veg"/>
    <n v="1490"/>
  </r>
  <r>
    <x v="10"/>
    <s v="Non Veg"/>
    <n v="1509.0909090909099"/>
  </r>
  <r>
    <x v="11"/>
    <s v="Non Veg"/>
    <n v="1528.1818181818201"/>
  </r>
  <r>
    <x v="12"/>
    <s v="Non Veg"/>
    <n v="1547.27272727273"/>
  </r>
  <r>
    <x v="13"/>
    <s v="Non Veg"/>
    <n v="1566.3636363636399"/>
  </r>
  <r>
    <x v="14"/>
    <s v="Non Veg"/>
    <n v="1585.45454545455"/>
  </r>
  <r>
    <x v="15"/>
    <s v="Non Veg"/>
    <n v="1604.54545454546"/>
  </r>
  <r>
    <x v="16"/>
    <s v="Non Veg"/>
    <n v="1623.6363636363701"/>
  </r>
  <r>
    <x v="17"/>
    <s v="Non Veg"/>
    <n v="1642.72727272727"/>
  </r>
  <r>
    <x v="18"/>
    <s v="Non Veg"/>
    <n v="1661.8181818181799"/>
  </r>
  <r>
    <x v="19"/>
    <s v="Non Veg"/>
    <n v="1680.9090909090901"/>
  </r>
  <r>
    <x v="20"/>
    <s v="Non Veg"/>
    <n v="1700"/>
  </r>
  <r>
    <x v="21"/>
    <s v="Non Veg"/>
    <n v="1719.0909090909099"/>
  </r>
  <r>
    <x v="0"/>
    <s v="Non Veg"/>
    <n v="1738.1818181818201"/>
  </r>
  <r>
    <x v="1"/>
    <s v="Non Veg"/>
    <n v="1757.27272727273"/>
  </r>
  <r>
    <x v="2"/>
    <s v="Non Veg"/>
    <n v="1776.3636363636399"/>
  </r>
  <r>
    <x v="3"/>
    <s v="Non Veg"/>
    <n v="1795.45454545455"/>
  </r>
  <r>
    <x v="4"/>
    <s v="Non Veg"/>
    <n v="1814.54545454546"/>
  </r>
  <r>
    <x v="5"/>
    <s v="Non Veg"/>
    <n v="1833.6363636363701"/>
  </r>
  <r>
    <x v="6"/>
    <s v="Non Veg"/>
    <n v="1852.72727272727"/>
  </r>
  <r>
    <x v="7"/>
    <s v="Non Veg"/>
    <n v="1871.8181818181799"/>
  </r>
  <r>
    <x v="8"/>
    <s v="Non Veg"/>
    <n v="1890.9090909090901"/>
  </r>
  <r>
    <x v="9"/>
    <s v="Non Veg"/>
    <n v="1910"/>
  </r>
  <r>
    <x v="10"/>
    <s v="Non Veg"/>
    <n v="1929.0909090909099"/>
  </r>
  <r>
    <x v="11"/>
    <s v="Non Veg"/>
    <n v="1948.1818181818201"/>
  </r>
  <r>
    <x v="12"/>
    <s v="Non Veg"/>
    <n v="1967.27272727273"/>
  </r>
  <r>
    <x v="13"/>
    <s v="Non Veg"/>
    <n v="1986.3636363636399"/>
  </r>
  <r>
    <x v="14"/>
    <s v="Non Veg"/>
    <n v="2005.45454545455"/>
  </r>
  <r>
    <x v="15"/>
    <s v="Non Veg"/>
    <n v="2024.54545454546"/>
  </r>
  <r>
    <x v="16"/>
    <s v="Non Veg"/>
    <n v="2043.6363636363701"/>
  </r>
  <r>
    <x v="17"/>
    <s v="Non Veg"/>
    <n v="2062.7272727272698"/>
  </r>
  <r>
    <x v="18"/>
    <s v="Non Veg"/>
    <n v="2081.8181818181802"/>
  </r>
  <r>
    <x v="19"/>
    <s v="Non Veg"/>
    <n v="2100.9090909090901"/>
  </r>
  <r>
    <x v="20"/>
    <s v="Non Veg"/>
    <n v="2120"/>
  </r>
  <r>
    <x v="21"/>
    <s v="Non Veg"/>
    <n v="2139.0909090909099"/>
  </r>
  <r>
    <x v="0"/>
    <s v="Non Veg"/>
    <n v="2158.1818181818198"/>
  </r>
  <r>
    <x v="1"/>
    <s v="Non Veg"/>
    <n v="2177.2727272727302"/>
  </r>
  <r>
    <x v="2"/>
    <s v="Non Veg"/>
    <n v="2196.3636363636401"/>
  </r>
  <r>
    <x v="3"/>
    <s v="Non Veg"/>
    <n v="2215.45454545455"/>
  </r>
  <r>
    <x v="4"/>
    <s v="Non Veg"/>
    <n v="2234.54545454546"/>
  </r>
  <r>
    <x v="5"/>
    <s v="Non Veg"/>
    <n v="2253.6363636363699"/>
  </r>
  <r>
    <x v="6"/>
    <s v="Non Veg"/>
    <n v="2272.7272727272698"/>
  </r>
  <r>
    <x v="7"/>
    <s v="Non Veg"/>
    <n v="2291.8181818181802"/>
  </r>
  <r>
    <x v="22"/>
    <s v="Veg"/>
    <n v="2310.9090909090901"/>
  </r>
  <r>
    <x v="23"/>
    <s v="Veg"/>
    <n v="2330"/>
  </r>
  <r>
    <x v="24"/>
    <s v="Veg"/>
    <n v="2349.0909090909099"/>
  </r>
  <r>
    <x v="25"/>
    <s v="Veg"/>
    <n v="2368.1818181818198"/>
  </r>
  <r>
    <x v="26"/>
    <s v="Veg"/>
    <n v="2387.2727272727302"/>
  </r>
  <r>
    <x v="27"/>
    <s v="Veg"/>
    <n v="2406.3636363636401"/>
  </r>
  <r>
    <x v="28"/>
    <s v="Veg"/>
    <n v="2425.45454545455"/>
  </r>
  <r>
    <x v="29"/>
    <s v="Veg"/>
    <n v="2444.54545454546"/>
  </r>
  <r>
    <x v="30"/>
    <s v="Veg"/>
    <n v="2463.6363636363699"/>
  </r>
  <r>
    <x v="31"/>
    <s v="Veg"/>
    <n v="2482.7272727272698"/>
  </r>
  <r>
    <x v="32"/>
    <s v="Veg"/>
    <n v="2501.8181818181802"/>
  </r>
  <r>
    <x v="33"/>
    <s v="Veg"/>
    <n v="2520.9090909090901"/>
  </r>
  <r>
    <x v="34"/>
    <s v="Veg"/>
    <n v="2540"/>
  </r>
  <r>
    <x v="35"/>
    <s v="Veg"/>
    <n v="2559.0909090909099"/>
  </r>
  <r>
    <x v="36"/>
    <s v="Veg"/>
    <n v="2578.1818181818198"/>
  </r>
  <r>
    <x v="37"/>
    <s v="Veg"/>
    <n v="2597.2727272727302"/>
  </r>
  <r>
    <x v="38"/>
    <s v="Veg"/>
    <n v="2616.3636363636401"/>
  </r>
  <r>
    <x v="39"/>
    <s v="Veg"/>
    <n v="2635.45454545455"/>
  </r>
  <r>
    <x v="40"/>
    <s v="Veg"/>
    <n v="2654.54545454546"/>
  </r>
  <r>
    <x v="41"/>
    <s v="Veg"/>
    <n v="2673.6363636363699"/>
  </r>
  <r>
    <x v="42"/>
    <s v="Veg"/>
    <n v="2692.7272727272698"/>
  </r>
  <r>
    <x v="43"/>
    <s v="Veg"/>
    <n v="2711.8181818181802"/>
  </r>
  <r>
    <x v="44"/>
    <s v="Veg"/>
    <n v="2730.9090909090901"/>
  </r>
  <r>
    <x v="45"/>
    <s v="Veg"/>
    <n v="2750"/>
  </r>
  <r>
    <x v="46"/>
    <s v="Veg"/>
    <n v="2769.0909090909099"/>
  </r>
  <r>
    <x v="31"/>
    <s v="Veg"/>
    <n v="2788.1818181818198"/>
  </r>
  <r>
    <x v="24"/>
    <s v="Veg"/>
    <n v="2807.2727272727302"/>
  </r>
  <r>
    <x v="47"/>
    <s v="Veg"/>
    <n v="2826.3636363636401"/>
  </r>
  <r>
    <x v="48"/>
    <s v="Veg"/>
    <n v="2845.45454545455"/>
  </r>
  <r>
    <x v="49"/>
    <s v="Veg"/>
    <n v="2864.54545454546"/>
  </r>
  <r>
    <x v="50"/>
    <s v="Veg"/>
    <n v="2883.63636363636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CC19C-69B6-42D8-A5CF-1F857C1B9DFB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 rowPageCount="1" colPageCount="1"/>
  <pivotFields count="12">
    <pivotField showAll="0"/>
    <pivotField axis="axisPage" showAll="0" countASubtotal="1">
      <items count="29">
        <item x="0"/>
        <item x="1"/>
        <item x="24"/>
        <item x="25"/>
        <item x="11"/>
        <item x="12"/>
        <item x="13"/>
        <item x="14"/>
        <item x="2"/>
        <item x="15"/>
        <item x="26"/>
        <item x="27"/>
        <item x="3"/>
        <item x="4"/>
        <item x="5"/>
        <item x="6"/>
        <item x="7"/>
        <item x="16"/>
        <item x="17"/>
        <item x="18"/>
        <item x="21"/>
        <item x="22"/>
        <item x="23"/>
        <item x="8"/>
        <item x="9"/>
        <item x="10"/>
        <item x="19"/>
        <item x="20"/>
        <item t="countA"/>
      </items>
    </pivotField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dataField="1" showAll="0">
      <items count="61">
        <item x="32"/>
        <item x="30"/>
        <item x="1"/>
        <item x="39"/>
        <item x="0"/>
        <item x="29"/>
        <item x="28"/>
        <item x="57"/>
        <item x="2"/>
        <item x="53"/>
        <item x="36"/>
        <item x="33"/>
        <item x="9"/>
        <item x="19"/>
        <item x="52"/>
        <item x="6"/>
        <item x="46"/>
        <item x="48"/>
        <item x="34"/>
        <item x="10"/>
        <item x="3"/>
        <item x="54"/>
        <item x="37"/>
        <item x="15"/>
        <item x="56"/>
        <item x="40"/>
        <item x="4"/>
        <item x="25"/>
        <item x="17"/>
        <item x="45"/>
        <item x="16"/>
        <item x="42"/>
        <item x="11"/>
        <item x="13"/>
        <item x="8"/>
        <item x="20"/>
        <item x="12"/>
        <item x="31"/>
        <item x="14"/>
        <item x="7"/>
        <item x="41"/>
        <item x="51"/>
        <item x="49"/>
        <item x="43"/>
        <item x="44"/>
        <item x="5"/>
        <item x="59"/>
        <item x="21"/>
        <item x="22"/>
        <item x="55"/>
        <item x="38"/>
        <item x="50"/>
        <item x="47"/>
        <item x="58"/>
        <item x="35"/>
        <item x="23"/>
        <item x="26"/>
        <item x="18"/>
        <item x="27"/>
        <item x="24"/>
        <item t="default"/>
      </items>
    </pivotField>
    <pivotField dataField="1"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Count of DishNmae" fld="7" subtotal="count" baseField="0" baseItem="0"/>
    <dataField name="Average of Rating" fld="9" subtotal="average" baseField="0" baseItem="1"/>
    <dataField name="Sum of Rating count" fld="10" baseField="0" baseItem="0"/>
    <dataField name="Sum of 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4BA583-EA65-4A82-B536-8399125941BE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Row Labels">
  <location ref="B20:C30" firstHeaderRow="1" firstDataRow="1" firstDataCol="1"/>
  <pivotFields count="12">
    <pivotField showAll="0"/>
    <pivotField showAll="0"/>
    <pivotField showAll="0"/>
    <pivotField axis="axisRow" numFmtId="14" showAll="0">
      <items count="369">
        <item x="0"/>
        <item x="1"/>
        <item x="2"/>
        <item h="1"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sd="0" x="0"/>
        <item h="1" sd="0" x="1"/>
        <item h="1" sd="0" x="2"/>
        <item h="1"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1"/>
    <field x="3"/>
  </rowFields>
  <rowItems count="10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rice" fld="8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1" type="button" dataOnly="0" labelOnly="1" outline="0" axis="axisRow" fieldPosition="0"/>
    </format>
    <format dxfId="3">
      <pivotArea dataOnly="0" labelOnly="1" fieldPosition="0">
        <references count="1">
          <reference field="11" count="9"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C0039-6626-4FDA-83E1-60C8F5B08A63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6" firstHeaderRow="1" firstDataRow="1" firstDataCol="1"/>
  <pivotFields count="12">
    <pivotField showAll="0"/>
    <pivotField showAll="0"/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1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rice" fld="8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1" type="button" dataOnly="0" labelOnly="1" outline="0" axis="axisRow" fieldPosition="0"/>
    </format>
    <format dxfId="8">
      <pivotArea dataOnly="0" labelOnly="1" fieldPosition="0">
        <references count="1">
          <reference field="11" count="9"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6CC22-15FB-4C57-9995-EDD14FF7AAA3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4" outline="1" outlineData="1" multipleFieldFilters="0" chartFormat="1">
  <location ref="A3:B16" firstHeaderRow="1" firstDataRow="1" firstDataCol="1"/>
  <pivotFields count="12">
    <pivotField showAll="0"/>
    <pivotField showAll="0"/>
    <pivotField showAll="0"/>
    <pivotField axis="axisRow" dataField="1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1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Order Date" fld="3" subtotal="count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1" type="button" dataOnly="0" labelOnly="1" outline="0" axis="axisRow" fieldPosition="0"/>
    </format>
    <format dxfId="14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02867-9A12-4E0B-9263-B0C54457DB01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Price" fld="1" baseField="0" baseItem="0"/>
  </dataFields>
  <formats count="12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FE06A-DD6E-4D7C-B419-0845DBBE5804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1" firstHeaderRow="1" firstDataRow="1" firstDataCol="1"/>
  <pivotFields count="8">
    <pivotField numFmtId="14" showAll="0"/>
    <pivotField axis="axisRow" showAll="0">
      <items count="8">
        <item x="0"/>
        <item x="4"/>
        <item x="1"/>
        <item x="5"/>
        <item x="2"/>
        <item x="3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ice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7477C-7781-496A-B26F-A70808187CF1}" name="PivotTable9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8" firstHeaderRow="0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Location" fld="0" subtotal="count" baseField="0" baseItem="0"/>
    <dataField name="Sum of Rating count" fld="4" baseField="0" baseItem="0"/>
    <dataField name="Sum of Price" fld="3" baseField="0" baseItem="0"/>
    <dataField name="Sum of Rating" fld="2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sturant Data!$A$2:$N$15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E5289-AD04-4441-B82D-7D8BC633B725}" name="PivotTable8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12">
    <pivotField showAll="0"/>
    <pivotField showAll="0"/>
    <pivotField showAll="0"/>
    <pivotField numFmtId="14"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Rating" fld="9" baseField="0" baseItem="0"/>
    <dataField name="Count of DishNmae" fld="7" subtotal="count" baseField="0" baseItem="0"/>
    <dataField name="Sum of 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04C2B-E61A-47D0-9967-6159A8423C9A}" name="PivotTable12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2" firstHeaderRow="1" firstDataRow="1" firstDataCol="1"/>
  <pivotFields count="2">
    <pivotField axis="axisRow" allDrilled="1" showAll="0" dataSourceSort="1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subtotalTop="0" showAll="0" defaultSubtota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Price" fld="1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 1]"/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71791-4E4B-4D7B-9408-30E4C9D9AAAE}" name="PivotTable11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32" firstHeaderRow="1" firstDataRow="1" firstDataCol="1"/>
  <pivotFields count="2">
    <pivotField axis="axisRow" showAll="0">
      <items count="29">
        <item x="0"/>
        <item x="1"/>
        <item x="24"/>
        <item x="25"/>
        <item x="11"/>
        <item x="12"/>
        <item x="13"/>
        <item x="14"/>
        <item x="2"/>
        <item x="15"/>
        <item x="26"/>
        <item x="27"/>
        <item x="3"/>
        <item x="4"/>
        <item x="5"/>
        <item x="6"/>
        <item x="7"/>
        <item x="16"/>
        <item x="17"/>
        <item x="18"/>
        <item x="21"/>
        <item x="22"/>
        <item x="23"/>
        <item x="8"/>
        <item x="9"/>
        <item x="10"/>
        <item x="19"/>
        <item x="20"/>
        <item t="default"/>
      </items>
    </pivotField>
    <pivotField showAl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E8105-5F7B-4887-8627-B371ABBBA465}" name="PivotTable13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5" firstHeaderRow="1" firstDataRow="1" firstDataCol="1"/>
  <pivotFields count="10">
    <pivotField axis="axisRow" showAll="0">
      <items count="102">
        <item x="34"/>
        <item x="43"/>
        <item x="25"/>
        <item x="55"/>
        <item x="97"/>
        <item x="59"/>
        <item x="98"/>
        <item x="70"/>
        <item x="94"/>
        <item x="21"/>
        <item x="53"/>
        <item x="20"/>
        <item x="49"/>
        <item x="10"/>
        <item x="27"/>
        <item x="64"/>
        <item x="71"/>
        <item x="95"/>
        <item x="60"/>
        <item x="50"/>
        <item x="48"/>
        <item x="16"/>
        <item x="82"/>
        <item x="87"/>
        <item x="75"/>
        <item x="63"/>
        <item x="92"/>
        <item x="40"/>
        <item x="3"/>
        <item x="45"/>
        <item x="68"/>
        <item x="51"/>
        <item x="32"/>
        <item x="23"/>
        <item x="7"/>
        <item x="77"/>
        <item x="62"/>
        <item x="56"/>
        <item x="47"/>
        <item x="84"/>
        <item x="4"/>
        <item x="36"/>
        <item x="65"/>
        <item x="99"/>
        <item x="67"/>
        <item x="52"/>
        <item x="28"/>
        <item x="61"/>
        <item x="76"/>
        <item x="19"/>
        <item x="31"/>
        <item x="35"/>
        <item x="54"/>
        <item x="26"/>
        <item x="72"/>
        <item x="15"/>
        <item x="17"/>
        <item x="80"/>
        <item x="78"/>
        <item x="58"/>
        <item x="88"/>
        <item x="22"/>
        <item x="93"/>
        <item x="86"/>
        <item x="12"/>
        <item x="5"/>
        <item x="66"/>
        <item x="39"/>
        <item x="42"/>
        <item x="9"/>
        <item x="57"/>
        <item x="69"/>
        <item x="81"/>
        <item x="38"/>
        <item x="96"/>
        <item x="41"/>
        <item x="6"/>
        <item x="46"/>
        <item x="13"/>
        <item x="30"/>
        <item x="73"/>
        <item x="100"/>
        <item x="29"/>
        <item x="24"/>
        <item x="14"/>
        <item x="83"/>
        <item x="18"/>
        <item x="44"/>
        <item x="8"/>
        <item x="85"/>
        <item x="74"/>
        <item x="2"/>
        <item x="89"/>
        <item x="37"/>
        <item x="79"/>
        <item x="1"/>
        <item x="0"/>
        <item x="33"/>
        <item x="90"/>
        <item x="11"/>
        <item x="91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 t="grand">
      <x/>
    </i>
  </rowItems>
  <colItems count="1">
    <i/>
  </colItems>
  <dataFields count="1">
    <dataField name="Sum of Price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CFB301-0338-4B94-AF49-6740DE945D89}" name="PivotTable15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3">
    <pivotField axis="axisRow" showAll="0" measureFilter="1" sortType="descending">
      <items count="52">
        <item x="37"/>
        <item x="0"/>
        <item x="36"/>
        <item x="9"/>
        <item x="2"/>
        <item x="1"/>
        <item x="5"/>
        <item x="4"/>
        <item x="7"/>
        <item x="8"/>
        <item x="6"/>
        <item x="3"/>
        <item x="30"/>
        <item x="50"/>
        <item x="46"/>
        <item x="32"/>
        <item x="20"/>
        <item x="21"/>
        <item x="19"/>
        <item x="42"/>
        <item x="16"/>
        <item x="14"/>
        <item x="15"/>
        <item x="27"/>
        <item x="38"/>
        <item x="44"/>
        <item x="45"/>
        <item x="39"/>
        <item x="48"/>
        <item x="34"/>
        <item x="10"/>
        <item x="11"/>
        <item x="12"/>
        <item x="13"/>
        <item x="47"/>
        <item x="23"/>
        <item x="43"/>
        <item x="22"/>
        <item x="26"/>
        <item x="33"/>
        <item x="25"/>
        <item x="24"/>
        <item x="18"/>
        <item x="17"/>
        <item x="31"/>
        <item x="40"/>
        <item x="35"/>
        <item x="28"/>
        <item x="29"/>
        <item x="49"/>
        <item x="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1">
    <i>
      <x v="8"/>
    </i>
    <i>
      <x v="6"/>
    </i>
    <i>
      <x v="10"/>
    </i>
    <i>
      <x v="7"/>
    </i>
    <i>
      <x v="11"/>
    </i>
    <i>
      <x v="4"/>
    </i>
    <i>
      <x v="5"/>
    </i>
    <i>
      <x v="1"/>
    </i>
    <i>
      <x v="17"/>
    </i>
    <i>
      <x v="16"/>
    </i>
    <i t="grand">
      <x/>
    </i>
  </rowItems>
  <colItems count="1">
    <i/>
  </colItems>
  <dataFields count="1">
    <dataField name="Sum of prise" fld="2" baseField="0" baseItem="0"/>
  </dataFields>
  <chartFormats count="5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4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5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56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" format="57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58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" format="5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6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6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62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3" format="63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3" format="64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3" format="65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3" format="66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3" format="67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3" format="68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3" format="69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3" format="70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3" format="7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3" format="72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3" format="73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3" format="7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75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" format="76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3" format="77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3" format="78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3" format="79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3" format="80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3" format="8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3" format="82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3" format="83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3" format="84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3" format="85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3" format="86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3" format="87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3" format="88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3" format="89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3" format="90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3" format="9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9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93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3" format="94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3" format="95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3" format="9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3" format="97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3" format="98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3" format="99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3" format="100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3" format="10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3" format="102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3" format="103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3" format="104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1F4271-08F7-4F71-886C-6DD300A65452}" name="Table2" displayName="Table2" ref="J3:K152" totalsRowShown="0" headerRowDxfId="31" headerRowBorderDxfId="32" tableBorderDxfId="33">
  <tableColumns count="2">
    <tableColumn id="1" xr3:uid="{F5B5168F-9580-499F-9001-2A97AE9FEB95}" name="Butter Chicken"/>
    <tableColumn id="2" xr3:uid="{7B05A615-D2E2-42F7-8138-D3AEDC4B6EAE}" name="Non Veg" dataDxfId="3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927-A98A-4EB3-8A91-48F7C18ECFB9}">
  <dimension ref="A1:E23"/>
  <sheetViews>
    <sheetView tabSelected="1" workbookViewId="0">
      <selection activeCell="C9" sqref="C9"/>
    </sheetView>
  </sheetViews>
  <sheetFormatPr defaultRowHeight="14.4" x14ac:dyDescent="0.3"/>
  <cols>
    <col min="1" max="1" width="17.5546875" bestFit="1" customWidth="1"/>
    <col min="2" max="2" width="16" bestFit="1" customWidth="1"/>
    <col min="3" max="3" width="18.33203125" bestFit="1" customWidth="1"/>
    <col min="4" max="4" width="12" bestFit="1" customWidth="1"/>
    <col min="5" max="5" width="21.5546875" customWidth="1"/>
  </cols>
  <sheetData>
    <row r="1" spans="1:5" x14ac:dyDescent="0.3">
      <c r="A1" s="17" t="s">
        <v>1</v>
      </c>
      <c r="B1" t="s">
        <v>200</v>
      </c>
    </row>
    <row r="2" spans="1:5" x14ac:dyDescent="0.3">
      <c r="A2" s="13" t="s">
        <v>193</v>
      </c>
      <c r="B2" s="13"/>
      <c r="C2" s="13"/>
      <c r="D2" s="13"/>
      <c r="E2" s="13"/>
    </row>
    <row r="3" spans="1:5" x14ac:dyDescent="0.3">
      <c r="A3" t="s">
        <v>191</v>
      </c>
      <c r="B3" t="s">
        <v>189</v>
      </c>
      <c r="C3" t="s">
        <v>190</v>
      </c>
      <c r="D3" t="s">
        <v>188</v>
      </c>
      <c r="E3" t="s">
        <v>192</v>
      </c>
    </row>
    <row r="4" spans="1:5" x14ac:dyDescent="0.3">
      <c r="A4" s="12">
        <v>149</v>
      </c>
      <c r="B4" s="12">
        <v>5.2518181818181828</v>
      </c>
      <c r="C4" s="12">
        <v>51653.400000000038</v>
      </c>
      <c r="D4" s="12">
        <v>219165.45454545482</v>
      </c>
      <c r="E4">
        <f>219165.4545/149</f>
        <v>1470.9090906040267</v>
      </c>
    </row>
    <row r="6" spans="1:5" x14ac:dyDescent="0.3">
      <c r="A6" t="s">
        <v>195</v>
      </c>
      <c r="B6" t="s">
        <v>196</v>
      </c>
      <c r="C6" t="s">
        <v>197</v>
      </c>
      <c r="D6" t="s">
        <v>198</v>
      </c>
      <c r="E6" t="s">
        <v>199</v>
      </c>
    </row>
    <row r="7" spans="1:5" x14ac:dyDescent="0.3">
      <c r="A7">
        <v>149</v>
      </c>
      <c r="B7" s="16">
        <v>5.2518188200000004</v>
      </c>
      <c r="C7" s="14">
        <v>51653.4</v>
      </c>
      <c r="D7" s="15">
        <v>219165.45454545482</v>
      </c>
      <c r="E7" s="14">
        <f>2191650.45454545/149</f>
        <v>14709.063453325167</v>
      </c>
    </row>
    <row r="18" spans="2:3" x14ac:dyDescent="0.3">
      <c r="C18" t="s">
        <v>201</v>
      </c>
    </row>
    <row r="23" spans="2:3" x14ac:dyDescent="0.3">
      <c r="B23" s="16"/>
    </row>
  </sheetData>
  <mergeCells count="1">
    <mergeCell ref="A2:E2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45EC7-7FB0-4F9E-9701-AC1D1C32203A}">
  <dimension ref="A3:J33"/>
  <sheetViews>
    <sheetView workbookViewId="0">
      <selection activeCell="B3" sqref="A3:B3"/>
    </sheetView>
  </sheetViews>
  <sheetFormatPr defaultRowHeight="14.4" x14ac:dyDescent="0.3"/>
  <cols>
    <col min="1" max="1" width="12.5546875" bestFit="1" customWidth="1"/>
    <col min="2" max="3" width="12" bestFit="1" customWidth="1"/>
  </cols>
  <sheetData>
    <row r="3" spans="1:9" x14ac:dyDescent="0.3">
      <c r="A3" s="22" t="s">
        <v>202</v>
      </c>
      <c r="B3" s="23" t="s">
        <v>188</v>
      </c>
      <c r="C3" s="23"/>
      <c r="D3" s="23"/>
      <c r="E3" s="23"/>
      <c r="F3" s="23"/>
      <c r="G3" s="23"/>
      <c r="H3" s="23"/>
      <c r="I3" s="23"/>
    </row>
    <row r="4" spans="1:9" x14ac:dyDescent="0.3">
      <c r="A4" s="24" t="s">
        <v>204</v>
      </c>
      <c r="B4" s="25">
        <v>16273.181818181827</v>
      </c>
      <c r="C4" s="23"/>
      <c r="D4" s="23"/>
      <c r="E4" s="23"/>
      <c r="F4" s="23"/>
      <c r="G4" s="23"/>
      <c r="H4" s="23"/>
      <c r="I4" s="23"/>
    </row>
    <row r="5" spans="1:9" x14ac:dyDescent="0.3">
      <c r="A5" s="24" t="s">
        <v>205</v>
      </c>
      <c r="B5" s="25">
        <v>22280.454545454573</v>
      </c>
      <c r="C5" s="23"/>
      <c r="D5" s="23"/>
      <c r="E5" s="23"/>
      <c r="F5" s="23"/>
      <c r="G5" s="23"/>
      <c r="H5" s="23"/>
      <c r="I5" s="23"/>
    </row>
    <row r="6" spans="1:9" x14ac:dyDescent="0.3">
      <c r="A6" s="24" t="s">
        <v>206</v>
      </c>
      <c r="B6" s="25">
        <v>19690.000000000015</v>
      </c>
      <c r="C6" s="23"/>
      <c r="D6" s="23"/>
      <c r="E6" s="23"/>
      <c r="F6" s="23"/>
      <c r="G6" s="23"/>
      <c r="H6" s="23"/>
      <c r="I6" s="23"/>
    </row>
    <row r="7" spans="1:9" x14ac:dyDescent="0.3">
      <c r="A7" s="24" t="s">
        <v>207</v>
      </c>
      <c r="B7" s="25">
        <v>16923.181818181831</v>
      </c>
      <c r="C7" s="23"/>
      <c r="D7" s="23"/>
      <c r="E7" s="23"/>
      <c r="F7" s="23"/>
      <c r="G7" s="23"/>
      <c r="H7" s="23"/>
      <c r="I7" s="23"/>
    </row>
    <row r="8" spans="1:9" x14ac:dyDescent="0.3">
      <c r="A8" s="24" t="s">
        <v>208</v>
      </c>
      <c r="B8" s="25">
        <v>17188.181818181827</v>
      </c>
      <c r="C8" s="23"/>
      <c r="D8" s="23"/>
      <c r="E8" s="23"/>
      <c r="F8" s="23"/>
      <c r="G8" s="23"/>
      <c r="H8" s="23"/>
      <c r="I8" s="23"/>
    </row>
    <row r="9" spans="1:9" x14ac:dyDescent="0.3">
      <c r="A9" s="24" t="s">
        <v>209</v>
      </c>
      <c r="B9" s="25">
        <v>17578.181818181823</v>
      </c>
      <c r="C9" s="23"/>
      <c r="D9" s="23"/>
      <c r="E9" s="23"/>
      <c r="F9" s="23"/>
      <c r="G9" s="23"/>
      <c r="H9" s="23"/>
      <c r="I9" s="23"/>
    </row>
    <row r="10" spans="1:9" x14ac:dyDescent="0.3">
      <c r="A10" s="24" t="s">
        <v>210</v>
      </c>
      <c r="B10" s="25">
        <v>17573.181818181831</v>
      </c>
      <c r="C10" s="23"/>
      <c r="D10" s="23"/>
      <c r="E10" s="23"/>
      <c r="F10" s="23"/>
      <c r="G10" s="23"/>
      <c r="H10" s="23"/>
      <c r="I10" s="23"/>
    </row>
    <row r="11" spans="1:9" x14ac:dyDescent="0.3">
      <c r="A11" s="24" t="s">
        <v>211</v>
      </c>
      <c r="B11" s="25">
        <v>17828.181818181838</v>
      </c>
      <c r="C11" s="23"/>
      <c r="D11" s="23"/>
      <c r="E11" s="23"/>
      <c r="F11" s="23"/>
      <c r="G11" s="23"/>
      <c r="H11" s="23"/>
      <c r="I11" s="23"/>
    </row>
    <row r="12" spans="1:9" x14ac:dyDescent="0.3">
      <c r="A12" s="24" t="s">
        <v>212</v>
      </c>
      <c r="B12" s="25">
        <v>18143.181818181838</v>
      </c>
      <c r="C12" s="23"/>
      <c r="D12" s="23"/>
      <c r="E12" s="23"/>
      <c r="F12" s="23"/>
      <c r="G12" s="23"/>
      <c r="H12" s="23"/>
      <c r="I12" s="23"/>
    </row>
    <row r="13" spans="1:9" x14ac:dyDescent="0.3">
      <c r="A13" s="24" t="s">
        <v>213</v>
      </c>
      <c r="B13" s="25">
        <v>18298.181818181834</v>
      </c>
      <c r="C13" s="23"/>
      <c r="D13" s="23"/>
      <c r="E13" s="23"/>
      <c r="F13" s="23"/>
      <c r="G13" s="23"/>
      <c r="H13" s="23"/>
      <c r="I13" s="23"/>
    </row>
    <row r="14" spans="1:9" x14ac:dyDescent="0.3">
      <c r="A14" s="24" t="s">
        <v>214</v>
      </c>
      <c r="B14" s="25">
        <v>18593.181818181831</v>
      </c>
      <c r="C14" s="23"/>
      <c r="D14" s="23"/>
      <c r="E14" s="23"/>
      <c r="F14" s="23"/>
      <c r="G14" s="23"/>
      <c r="H14" s="23"/>
      <c r="I14" s="23"/>
    </row>
    <row r="15" spans="1:9" x14ac:dyDescent="0.3">
      <c r="A15" s="24" t="s">
        <v>215</v>
      </c>
      <c r="B15" s="25">
        <v>18796.363636363647</v>
      </c>
      <c r="C15" s="23"/>
      <c r="D15" s="23"/>
      <c r="E15" s="23"/>
      <c r="F15" s="23"/>
      <c r="G15" s="23"/>
      <c r="H15" s="23"/>
      <c r="I15" s="23"/>
    </row>
    <row r="16" spans="1:9" x14ac:dyDescent="0.3">
      <c r="A16" s="24" t="s">
        <v>203</v>
      </c>
      <c r="B16" s="25">
        <v>219165.45454545465</v>
      </c>
      <c r="C16" s="23"/>
      <c r="D16" s="23"/>
      <c r="E16" s="23"/>
      <c r="F16" s="23"/>
      <c r="G16" s="23"/>
      <c r="H16" s="23"/>
      <c r="I16" s="23"/>
    </row>
    <row r="20" spans="2:10" x14ac:dyDescent="0.3">
      <c r="B20" s="22" t="s">
        <v>202</v>
      </c>
      <c r="C20" s="23" t="s">
        <v>188</v>
      </c>
      <c r="D20" s="23"/>
      <c r="E20" s="23"/>
      <c r="F20" s="23"/>
      <c r="G20" s="23"/>
      <c r="H20" s="23"/>
      <c r="I20" s="23"/>
      <c r="J20" s="23"/>
    </row>
    <row r="21" spans="2:10" x14ac:dyDescent="0.3">
      <c r="B21" s="24" t="s">
        <v>207</v>
      </c>
      <c r="C21" s="25">
        <v>16923.181818181831</v>
      </c>
      <c r="D21" s="23"/>
      <c r="E21" s="23"/>
      <c r="F21" s="23"/>
      <c r="G21" s="23"/>
      <c r="H21" s="23"/>
      <c r="I21" s="23"/>
      <c r="J21" s="23"/>
    </row>
    <row r="22" spans="2:10" x14ac:dyDescent="0.3">
      <c r="B22" s="24" t="s">
        <v>208</v>
      </c>
      <c r="C22" s="25">
        <v>17188.181818181827</v>
      </c>
      <c r="D22" s="23"/>
      <c r="E22" s="23"/>
      <c r="F22" s="23"/>
      <c r="G22" s="23"/>
      <c r="H22" s="23"/>
      <c r="I22" s="23"/>
      <c r="J22" s="23"/>
    </row>
    <row r="23" spans="2:10" x14ac:dyDescent="0.3">
      <c r="B23" s="24" t="s">
        <v>209</v>
      </c>
      <c r="C23" s="25">
        <v>17578.181818181823</v>
      </c>
      <c r="D23" s="23"/>
      <c r="E23" s="23"/>
      <c r="F23" s="23"/>
      <c r="G23" s="23"/>
      <c r="H23" s="23"/>
      <c r="I23" s="23"/>
      <c r="J23" s="23"/>
    </row>
    <row r="24" spans="2:10" x14ac:dyDescent="0.3">
      <c r="B24" s="24" t="s">
        <v>210</v>
      </c>
      <c r="C24" s="25">
        <v>17573.181818181831</v>
      </c>
      <c r="D24" s="23"/>
      <c r="E24" s="23"/>
      <c r="F24" s="23"/>
      <c r="G24" s="23"/>
      <c r="H24" s="23"/>
      <c r="I24" s="23"/>
      <c r="J24" s="23"/>
    </row>
    <row r="25" spans="2:10" x14ac:dyDescent="0.3">
      <c r="B25" s="24" t="s">
        <v>211</v>
      </c>
      <c r="C25" s="25">
        <v>17828.181818181838</v>
      </c>
      <c r="D25" s="23"/>
      <c r="E25" s="23"/>
      <c r="F25" s="23"/>
      <c r="G25" s="23"/>
      <c r="H25" s="23"/>
      <c r="I25" s="23"/>
      <c r="J25" s="23"/>
    </row>
    <row r="26" spans="2:10" x14ac:dyDescent="0.3">
      <c r="B26" s="24" t="s">
        <v>212</v>
      </c>
      <c r="C26" s="25">
        <v>18143.181818181838</v>
      </c>
      <c r="D26" s="23"/>
      <c r="E26" s="23"/>
      <c r="F26" s="23"/>
      <c r="G26" s="23"/>
      <c r="H26" s="23"/>
      <c r="I26" s="23"/>
      <c r="J26" s="23"/>
    </row>
    <row r="27" spans="2:10" x14ac:dyDescent="0.3">
      <c r="B27" s="24" t="s">
        <v>213</v>
      </c>
      <c r="C27" s="25">
        <v>18298.181818181834</v>
      </c>
      <c r="D27" s="23"/>
      <c r="E27" s="23"/>
      <c r="F27" s="23"/>
      <c r="G27" s="23"/>
      <c r="H27" s="23"/>
      <c r="I27" s="23"/>
      <c r="J27" s="23"/>
    </row>
    <row r="28" spans="2:10" x14ac:dyDescent="0.3">
      <c r="B28" s="24" t="s">
        <v>214</v>
      </c>
      <c r="C28" s="25">
        <v>18593.181818181831</v>
      </c>
      <c r="D28" s="23"/>
      <c r="E28" s="23"/>
      <c r="F28" s="23"/>
      <c r="G28" s="23"/>
      <c r="H28" s="23"/>
      <c r="I28" s="23"/>
      <c r="J28" s="23"/>
    </row>
    <row r="29" spans="2:10" x14ac:dyDescent="0.3">
      <c r="B29" s="24" t="s">
        <v>215</v>
      </c>
      <c r="C29" s="25">
        <v>18796.363636363647</v>
      </c>
      <c r="D29" s="23"/>
      <c r="E29" s="23"/>
      <c r="F29" s="23"/>
      <c r="G29" s="23"/>
      <c r="H29" s="23"/>
      <c r="I29" s="23"/>
      <c r="J29" s="23"/>
    </row>
    <row r="30" spans="2:10" x14ac:dyDescent="0.3">
      <c r="B30" s="24" t="s">
        <v>203</v>
      </c>
      <c r="C30" s="25">
        <v>160921.81818181832</v>
      </c>
      <c r="D30" s="23"/>
      <c r="E30" s="23"/>
      <c r="F30" s="23"/>
      <c r="G30" s="23"/>
      <c r="H30" s="23"/>
      <c r="I30" s="23"/>
      <c r="J30" s="23"/>
    </row>
    <row r="31" spans="2:10" x14ac:dyDescent="0.3">
      <c r="B31" s="23"/>
      <c r="C31" s="23"/>
      <c r="D31" s="23"/>
      <c r="E31" s="23"/>
      <c r="F31" s="23"/>
      <c r="G31" s="23"/>
      <c r="H31" s="23"/>
      <c r="I31" s="23"/>
      <c r="J31" s="23"/>
    </row>
    <row r="32" spans="2:10" x14ac:dyDescent="0.3">
      <c r="B32" s="23"/>
      <c r="C32" s="23"/>
      <c r="D32" s="23"/>
      <c r="E32" s="23"/>
      <c r="F32" s="23"/>
      <c r="G32" s="23"/>
      <c r="H32" s="23"/>
      <c r="I32" s="23"/>
      <c r="J32" s="23"/>
    </row>
    <row r="33" spans="2:10" x14ac:dyDescent="0.3">
      <c r="B33" s="23"/>
      <c r="C33" s="23"/>
      <c r="D33" s="23"/>
      <c r="E33" s="23"/>
      <c r="F33" s="23"/>
      <c r="G33" s="23"/>
      <c r="H33" s="23"/>
      <c r="I33" s="23"/>
      <c r="J33" s="23"/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B4140-08C6-4156-9917-1F46EA76025A}">
  <dimension ref="A2:H17"/>
  <sheetViews>
    <sheetView workbookViewId="0">
      <selection activeCell="A2" sqref="A2:H17"/>
    </sheetView>
  </sheetViews>
  <sheetFormatPr defaultRowHeight="14.4" x14ac:dyDescent="0.3"/>
  <cols>
    <col min="1" max="1" width="12.5546875" bestFit="1" customWidth="1"/>
    <col min="2" max="2" width="18.109375" bestFit="1" customWidth="1"/>
  </cols>
  <sheetData>
    <row r="2" spans="1:8" x14ac:dyDescent="0.3">
      <c r="A2" s="23"/>
      <c r="B2" s="23"/>
      <c r="C2" s="23"/>
      <c r="D2" s="23"/>
      <c r="E2" s="23"/>
      <c r="F2" s="23"/>
      <c r="G2" s="23"/>
      <c r="H2" s="23"/>
    </row>
    <row r="3" spans="1:8" x14ac:dyDescent="0.3">
      <c r="A3" s="22" t="s">
        <v>202</v>
      </c>
      <c r="B3" s="23" t="s">
        <v>216</v>
      </c>
      <c r="C3" s="23"/>
      <c r="D3" s="23"/>
      <c r="E3" s="23"/>
      <c r="F3" s="23"/>
      <c r="G3" s="23"/>
      <c r="H3" s="23"/>
    </row>
    <row r="4" spans="1:8" x14ac:dyDescent="0.3">
      <c r="A4" s="24" t="s">
        <v>204</v>
      </c>
      <c r="B4" s="25">
        <v>12</v>
      </c>
      <c r="C4" s="23"/>
      <c r="D4" s="23"/>
      <c r="E4" s="23"/>
      <c r="F4" s="23"/>
      <c r="G4" s="23"/>
      <c r="H4" s="23"/>
    </row>
    <row r="5" spans="1:8" x14ac:dyDescent="0.3">
      <c r="A5" s="24" t="s">
        <v>205</v>
      </c>
      <c r="B5" s="25">
        <v>15</v>
      </c>
      <c r="C5" s="23"/>
      <c r="D5" s="23"/>
      <c r="E5" s="23"/>
      <c r="F5" s="23"/>
      <c r="G5" s="23"/>
      <c r="H5" s="23"/>
    </row>
    <row r="6" spans="1:8" x14ac:dyDescent="0.3">
      <c r="A6" s="24" t="s">
        <v>206</v>
      </c>
      <c r="B6" s="25">
        <v>14</v>
      </c>
      <c r="C6" s="23"/>
      <c r="D6" s="23"/>
      <c r="E6" s="23"/>
      <c r="F6" s="23"/>
      <c r="G6" s="23"/>
      <c r="H6" s="23"/>
    </row>
    <row r="7" spans="1:8" x14ac:dyDescent="0.3">
      <c r="A7" s="24" t="s">
        <v>207</v>
      </c>
      <c r="B7" s="25">
        <v>12</v>
      </c>
      <c r="C7" s="23"/>
      <c r="D7" s="23"/>
      <c r="E7" s="23"/>
      <c r="F7" s="23"/>
      <c r="G7" s="23"/>
      <c r="H7" s="23"/>
    </row>
    <row r="8" spans="1:8" x14ac:dyDescent="0.3">
      <c r="A8" s="24" t="s">
        <v>208</v>
      </c>
      <c r="B8" s="25">
        <v>12</v>
      </c>
      <c r="C8" s="23"/>
      <c r="D8" s="23"/>
      <c r="E8" s="23"/>
      <c r="F8" s="23"/>
      <c r="G8" s="23"/>
      <c r="H8" s="23"/>
    </row>
    <row r="9" spans="1:8" x14ac:dyDescent="0.3">
      <c r="A9" s="24" t="s">
        <v>209</v>
      </c>
      <c r="B9" s="25">
        <v>12</v>
      </c>
      <c r="C9" s="23"/>
      <c r="D9" s="23"/>
      <c r="E9" s="23"/>
      <c r="F9" s="23"/>
      <c r="G9" s="23"/>
      <c r="H9" s="23"/>
    </row>
    <row r="10" spans="1:8" x14ac:dyDescent="0.3">
      <c r="A10" s="24" t="s">
        <v>210</v>
      </c>
      <c r="B10" s="25">
        <v>12</v>
      </c>
      <c r="C10" s="23"/>
      <c r="D10" s="23"/>
      <c r="E10" s="23"/>
      <c r="F10" s="23"/>
      <c r="G10" s="23"/>
      <c r="H10" s="23"/>
    </row>
    <row r="11" spans="1:8" x14ac:dyDescent="0.3">
      <c r="A11" s="24" t="s">
        <v>211</v>
      </c>
      <c r="B11" s="25">
        <v>12</v>
      </c>
      <c r="C11" s="23"/>
      <c r="D11" s="23"/>
      <c r="E11" s="23"/>
      <c r="F11" s="23"/>
      <c r="G11" s="23"/>
      <c r="H11" s="23"/>
    </row>
    <row r="12" spans="1:8" x14ac:dyDescent="0.3">
      <c r="A12" s="24" t="s">
        <v>212</v>
      </c>
      <c r="B12" s="25">
        <v>12</v>
      </c>
      <c r="C12" s="23"/>
      <c r="D12" s="23"/>
      <c r="E12" s="23"/>
      <c r="F12" s="23"/>
      <c r="G12" s="23"/>
      <c r="H12" s="23"/>
    </row>
    <row r="13" spans="1:8" x14ac:dyDescent="0.3">
      <c r="A13" s="24" t="s">
        <v>213</v>
      </c>
      <c r="B13" s="25">
        <v>12</v>
      </c>
      <c r="C13" s="23"/>
      <c r="D13" s="23"/>
      <c r="E13" s="23"/>
      <c r="F13" s="23"/>
      <c r="G13" s="23"/>
      <c r="H13" s="23"/>
    </row>
    <row r="14" spans="1:8" x14ac:dyDescent="0.3">
      <c r="A14" s="24" t="s">
        <v>214</v>
      </c>
      <c r="B14" s="25">
        <v>12</v>
      </c>
      <c r="C14" s="23"/>
      <c r="D14" s="23"/>
      <c r="E14" s="23"/>
      <c r="F14" s="23"/>
      <c r="G14" s="23"/>
      <c r="H14" s="23"/>
    </row>
    <row r="15" spans="1:8" x14ac:dyDescent="0.3">
      <c r="A15" s="24" t="s">
        <v>215</v>
      </c>
      <c r="B15" s="25">
        <v>12</v>
      </c>
      <c r="C15" s="23"/>
      <c r="D15" s="23"/>
      <c r="E15" s="23"/>
      <c r="F15" s="23"/>
      <c r="G15" s="23"/>
      <c r="H15" s="23"/>
    </row>
    <row r="16" spans="1:8" x14ac:dyDescent="0.3">
      <c r="A16" s="24" t="s">
        <v>203</v>
      </c>
      <c r="B16" s="25">
        <v>149</v>
      </c>
      <c r="C16" s="23"/>
      <c r="D16" s="23"/>
      <c r="E16" s="23"/>
      <c r="F16" s="23"/>
      <c r="G16" s="23"/>
      <c r="H16" s="23"/>
    </row>
    <row r="17" spans="1:8" x14ac:dyDescent="0.3">
      <c r="A17" s="23"/>
      <c r="B17" s="23"/>
      <c r="C17" s="23"/>
      <c r="D17" s="23"/>
      <c r="E17" s="23"/>
      <c r="F17" s="23"/>
      <c r="G17" s="23"/>
      <c r="H17" s="23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35E0F-037A-4C26-A8CC-049552151EDE}">
  <dimension ref="A2:I24"/>
  <sheetViews>
    <sheetView topLeftCell="A4" workbookViewId="0">
      <selection activeCell="B26" sqref="A26:B3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2" spans="1:9" x14ac:dyDescent="0.3">
      <c r="A2" s="21"/>
      <c r="B2" s="21"/>
      <c r="C2" s="21"/>
      <c r="D2" s="21"/>
      <c r="E2" s="21"/>
      <c r="F2" s="21"/>
      <c r="G2" s="21"/>
      <c r="H2" s="21"/>
      <c r="I2" s="21"/>
    </row>
    <row r="3" spans="1:9" x14ac:dyDescent="0.3">
      <c r="A3" s="22" t="s">
        <v>202</v>
      </c>
      <c r="B3" s="23" t="s">
        <v>188</v>
      </c>
      <c r="C3" s="23"/>
      <c r="D3" s="23"/>
      <c r="E3" s="23"/>
      <c r="F3" s="23"/>
      <c r="G3" s="23"/>
      <c r="H3" s="23"/>
      <c r="I3" s="23"/>
    </row>
    <row r="4" spans="1:9" x14ac:dyDescent="0.3">
      <c r="A4" s="24" t="s">
        <v>240</v>
      </c>
      <c r="B4" s="25">
        <v>138650.00000000009</v>
      </c>
      <c r="C4" s="23"/>
      <c r="D4" s="23"/>
      <c r="E4" s="23"/>
      <c r="F4" s="23"/>
      <c r="G4" s="23"/>
      <c r="H4" s="23"/>
      <c r="I4" s="23"/>
    </row>
    <row r="5" spans="1:9" x14ac:dyDescent="0.3">
      <c r="A5" s="24" t="s">
        <v>241</v>
      </c>
      <c r="B5" s="25">
        <v>80515.454545454617</v>
      </c>
      <c r="C5" s="23"/>
      <c r="D5" s="23"/>
      <c r="E5" s="23"/>
      <c r="F5" s="23"/>
      <c r="G5" s="23"/>
      <c r="H5" s="23"/>
      <c r="I5" s="23"/>
    </row>
    <row r="6" spans="1:9" x14ac:dyDescent="0.3">
      <c r="A6" s="24" t="s">
        <v>203</v>
      </c>
      <c r="B6" s="25">
        <v>219165.4545454547</v>
      </c>
      <c r="C6" s="23"/>
      <c r="D6" s="23"/>
      <c r="E6" s="23"/>
      <c r="F6" s="23"/>
      <c r="G6" s="23"/>
      <c r="H6" s="23"/>
      <c r="I6" s="23"/>
    </row>
    <row r="7" spans="1:9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x14ac:dyDescent="0.3">
      <c r="A23" s="23"/>
      <c r="B23" s="23"/>
      <c r="C23" s="23"/>
      <c r="D23" s="23"/>
      <c r="E23" s="23"/>
      <c r="F23" s="23"/>
      <c r="G23" s="23"/>
      <c r="H23" s="23"/>
      <c r="I23" s="23"/>
    </row>
    <row r="24" spans="1:9" x14ac:dyDescent="0.3">
      <c r="A24" s="23"/>
      <c r="B24" s="23"/>
      <c r="C24" s="23"/>
      <c r="D24" s="23"/>
      <c r="E24" s="23"/>
      <c r="F24" s="23"/>
      <c r="G24" s="23"/>
      <c r="H24" s="23"/>
      <c r="I24" s="23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8FFB-A7C4-4472-8E7C-64EF99DC28EC}">
  <dimension ref="A3:B11"/>
  <sheetViews>
    <sheetView workbookViewId="0">
      <selection activeCell="A3" sqref="A3:B11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17" t="s">
        <v>202</v>
      </c>
      <c r="B3" t="s">
        <v>188</v>
      </c>
    </row>
    <row r="4" spans="1:2" x14ac:dyDescent="0.3">
      <c r="A4" s="18" t="s">
        <v>265</v>
      </c>
      <c r="B4" s="12">
        <v>39174.090909090941</v>
      </c>
    </row>
    <row r="5" spans="1:2" x14ac:dyDescent="0.3">
      <c r="A5" s="18" t="s">
        <v>269</v>
      </c>
      <c r="B5" s="12">
        <v>22946.363636363651</v>
      </c>
    </row>
    <row r="6" spans="1:2" x14ac:dyDescent="0.3">
      <c r="A6" s="18" t="s">
        <v>266</v>
      </c>
      <c r="B6" s="12">
        <v>47628.181818181845</v>
      </c>
    </row>
    <row r="7" spans="1:2" x14ac:dyDescent="0.3">
      <c r="A7" s="18" t="s">
        <v>270</v>
      </c>
      <c r="B7" s="12">
        <v>22881.363636363665</v>
      </c>
    </row>
    <row r="8" spans="1:2" x14ac:dyDescent="0.3">
      <c r="A8" s="18" t="s">
        <v>267</v>
      </c>
      <c r="B8" s="12">
        <v>41543.636363636411</v>
      </c>
    </row>
    <row r="9" spans="1:2" x14ac:dyDescent="0.3">
      <c r="A9" s="18" t="s">
        <v>268</v>
      </c>
      <c r="B9" s="12">
        <v>30091.818181818198</v>
      </c>
    </row>
    <row r="10" spans="1:2" x14ac:dyDescent="0.3">
      <c r="A10" s="18" t="s">
        <v>271</v>
      </c>
      <c r="B10" s="12">
        <v>14900.00000000002</v>
      </c>
    </row>
    <row r="11" spans="1:2" x14ac:dyDescent="0.3">
      <c r="A11" s="18" t="s">
        <v>203</v>
      </c>
      <c r="B11" s="12">
        <v>219165.45454545476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3A3AB-BD91-4C6C-8258-B3FECF71E26F}">
  <dimension ref="A3:E8"/>
  <sheetViews>
    <sheetView workbookViewId="0">
      <selection activeCell="B32" sqref="B32"/>
    </sheetView>
  </sheetViews>
  <sheetFormatPr defaultRowHeight="14.4" x14ac:dyDescent="0.3"/>
  <cols>
    <col min="1" max="1" width="14.5546875" customWidth="1"/>
    <col min="2" max="2" width="20" customWidth="1"/>
    <col min="3" max="3" width="24.6640625" customWidth="1"/>
    <col min="4" max="4" width="15.109375" customWidth="1"/>
    <col min="5" max="5" width="17.33203125" customWidth="1"/>
  </cols>
  <sheetData>
    <row r="3" spans="1:5" x14ac:dyDescent="0.3">
      <c r="A3" s="17" t="s">
        <v>202</v>
      </c>
      <c r="B3" t="s">
        <v>279</v>
      </c>
      <c r="C3" t="s">
        <v>190</v>
      </c>
      <c r="D3" t="s">
        <v>188</v>
      </c>
      <c r="E3" t="s">
        <v>278</v>
      </c>
    </row>
    <row r="4" spans="1:5" x14ac:dyDescent="0.3">
      <c r="A4" s="18" t="s">
        <v>274</v>
      </c>
      <c r="B4" s="12">
        <v>38</v>
      </c>
      <c r="C4" s="12">
        <v>12594.454545454559</v>
      </c>
      <c r="D4" s="12">
        <v>54002.727272727279</v>
      </c>
      <c r="E4" s="12">
        <v>186.46818181818188</v>
      </c>
    </row>
    <row r="5" spans="1:5" x14ac:dyDescent="0.3">
      <c r="A5" s="18" t="s">
        <v>275</v>
      </c>
      <c r="B5" s="12">
        <v>37</v>
      </c>
      <c r="C5" s="12">
        <v>12654.945454545466</v>
      </c>
      <c r="D5" s="12">
        <v>53198.636363636426</v>
      </c>
      <c r="E5" s="12">
        <v>181.14000000000004</v>
      </c>
    </row>
    <row r="6" spans="1:5" x14ac:dyDescent="0.3">
      <c r="A6" s="18" t="s">
        <v>276</v>
      </c>
      <c r="B6" s="12">
        <v>37</v>
      </c>
      <c r="C6" s="12">
        <v>12960.636363636379</v>
      </c>
      <c r="D6" s="12">
        <v>54958.181818181904</v>
      </c>
      <c r="E6" s="12">
        <v>180.76454545454541</v>
      </c>
    </row>
    <row r="7" spans="1:5" x14ac:dyDescent="0.3">
      <c r="A7" s="18" t="s">
        <v>277</v>
      </c>
      <c r="B7" s="12">
        <v>37</v>
      </c>
      <c r="C7" s="12">
        <v>13443.363636363651</v>
      </c>
      <c r="D7" s="12">
        <v>57005.909090909139</v>
      </c>
      <c r="E7" s="12">
        <v>177.58090909090913</v>
      </c>
    </row>
    <row r="8" spans="1:5" x14ac:dyDescent="0.3">
      <c r="A8" s="18" t="s">
        <v>203</v>
      </c>
      <c r="B8" s="12">
        <v>149</v>
      </c>
      <c r="C8" s="12">
        <v>51653.400000000038</v>
      </c>
      <c r="D8" s="12">
        <v>219165.45454545482</v>
      </c>
      <c r="E8" s="12">
        <v>725.95363636363675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C6368-868D-4F98-A8BA-F2B9DE37D41B}">
  <dimension ref="A3:C4"/>
  <sheetViews>
    <sheetView workbookViewId="0">
      <selection activeCell="A3" sqref="A3"/>
    </sheetView>
  </sheetViews>
  <sheetFormatPr defaultRowHeight="14.4" x14ac:dyDescent="0.3"/>
  <cols>
    <col min="1" max="1" width="12.77734375" bestFit="1" customWidth="1"/>
    <col min="2" max="2" width="17.5546875" bestFit="1" customWidth="1"/>
    <col min="3" max="3" width="12" bestFit="1" customWidth="1"/>
  </cols>
  <sheetData>
    <row r="3" spans="1:3" x14ac:dyDescent="0.3">
      <c r="A3" t="s">
        <v>278</v>
      </c>
      <c r="B3" t="s">
        <v>191</v>
      </c>
      <c r="C3" t="s">
        <v>188</v>
      </c>
    </row>
    <row r="4" spans="1:3" x14ac:dyDescent="0.3">
      <c r="A4" s="12">
        <v>782.5209090909093</v>
      </c>
      <c r="B4" s="12">
        <v>149</v>
      </c>
      <c r="C4" s="12">
        <v>219165.45454545482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51CEE-5A87-42DD-AA71-F536E1BD5A47}">
  <dimension ref="A3:E32"/>
  <sheetViews>
    <sheetView zoomScale="73" zoomScaleNormal="85" workbookViewId="0">
      <selection activeCell="I24" sqref="I24"/>
    </sheetView>
  </sheetViews>
  <sheetFormatPr defaultRowHeight="14.4" x14ac:dyDescent="0.3"/>
  <cols>
    <col min="1" max="1" width="16.109375" bestFit="1" customWidth="1"/>
    <col min="2" max="2" width="12" bestFit="1" customWidth="1"/>
    <col min="4" max="4" width="17.88671875" bestFit="1" customWidth="1"/>
    <col min="5" max="5" width="13.33203125" bestFit="1" customWidth="1"/>
  </cols>
  <sheetData>
    <row r="3" spans="1:5" x14ac:dyDescent="0.3">
      <c r="A3" s="17" t="s">
        <v>202</v>
      </c>
      <c r="B3" t="s">
        <v>188</v>
      </c>
      <c r="D3" t="s">
        <v>1</v>
      </c>
      <c r="E3" t="s">
        <v>280</v>
      </c>
    </row>
    <row r="4" spans="1:5" x14ac:dyDescent="0.3">
      <c r="A4" s="18" t="s">
        <v>9</v>
      </c>
      <c r="B4" s="12">
        <v>219165.45454545482</v>
      </c>
      <c r="D4" s="18" t="s">
        <v>9</v>
      </c>
      <c r="E4" s="12">
        <v>219165.454545455</v>
      </c>
    </row>
    <row r="5" spans="1:5" x14ac:dyDescent="0.3">
      <c r="A5" s="18" t="s">
        <v>14</v>
      </c>
      <c r="B5" s="12">
        <v>219165.45454545482</v>
      </c>
      <c r="D5" s="18" t="s">
        <v>14</v>
      </c>
      <c r="E5" s="12">
        <v>219165.45454545482</v>
      </c>
    </row>
    <row r="6" spans="1:5" x14ac:dyDescent="0.3">
      <c r="A6" s="18" t="s">
        <v>146</v>
      </c>
      <c r="B6" s="12">
        <v>219165.45454545482</v>
      </c>
      <c r="D6" s="18" t="s">
        <v>146</v>
      </c>
      <c r="E6" s="12">
        <v>219165.45454545482</v>
      </c>
    </row>
    <row r="7" spans="1:5" x14ac:dyDescent="0.3">
      <c r="A7" s="18" t="s">
        <v>148</v>
      </c>
      <c r="B7" s="12">
        <v>219165.45454545482</v>
      </c>
      <c r="D7" s="18" t="s">
        <v>148</v>
      </c>
      <c r="E7" s="12">
        <v>219165.45454545482</v>
      </c>
    </row>
    <row r="8" spans="1:5" x14ac:dyDescent="0.3">
      <c r="A8" s="18" t="s">
        <v>100</v>
      </c>
      <c r="B8" s="12">
        <v>219165.45454545482</v>
      </c>
      <c r="D8" s="18" t="s">
        <v>100</v>
      </c>
      <c r="E8" s="12">
        <v>219165.45454545482</v>
      </c>
    </row>
    <row r="9" spans="1:5" x14ac:dyDescent="0.3">
      <c r="A9" s="18" t="s">
        <v>102</v>
      </c>
      <c r="B9" s="12">
        <v>219165.45454545482</v>
      </c>
      <c r="D9" s="18" t="s">
        <v>102</v>
      </c>
      <c r="E9" s="12">
        <v>219165.45454545482</v>
      </c>
    </row>
    <row r="10" spans="1:5" x14ac:dyDescent="0.3">
      <c r="A10" s="18" t="s">
        <v>104</v>
      </c>
      <c r="B10" s="12">
        <v>219165.45454545482</v>
      </c>
      <c r="D10" s="18" t="s">
        <v>104</v>
      </c>
      <c r="E10" s="12">
        <v>219165.45454545482</v>
      </c>
    </row>
    <row r="11" spans="1:5" x14ac:dyDescent="0.3">
      <c r="A11" s="18" t="s">
        <v>107</v>
      </c>
      <c r="B11" s="12">
        <v>219165.45454545482</v>
      </c>
      <c r="D11" s="18" t="s">
        <v>107</v>
      </c>
      <c r="E11" s="12">
        <v>219165.45454545482</v>
      </c>
    </row>
    <row r="12" spans="1:5" x14ac:dyDescent="0.3">
      <c r="A12" s="18" t="s">
        <v>37</v>
      </c>
      <c r="B12" s="12">
        <v>219165.45454545482</v>
      </c>
      <c r="D12" s="18" t="s">
        <v>37</v>
      </c>
      <c r="E12" s="12">
        <v>219165.45454545482</v>
      </c>
    </row>
    <row r="13" spans="1:5" x14ac:dyDescent="0.3">
      <c r="A13" s="18" t="s">
        <v>111</v>
      </c>
      <c r="B13" s="12">
        <v>219165.45454545482</v>
      </c>
      <c r="D13" s="18" t="s">
        <v>111</v>
      </c>
      <c r="E13" s="12">
        <v>219165.45454545482</v>
      </c>
    </row>
    <row r="14" spans="1:5" x14ac:dyDescent="0.3">
      <c r="A14" s="18" t="s">
        <v>155</v>
      </c>
      <c r="B14" s="12">
        <v>219165.45454545482</v>
      </c>
      <c r="D14" s="18" t="s">
        <v>155</v>
      </c>
      <c r="E14" s="12">
        <v>219165.45454545482</v>
      </c>
    </row>
    <row r="15" spans="1:5" x14ac:dyDescent="0.3">
      <c r="A15" s="18" t="s">
        <v>156</v>
      </c>
      <c r="B15" s="12">
        <v>219165.45454545482</v>
      </c>
      <c r="D15" s="18" t="s">
        <v>156</v>
      </c>
      <c r="E15" s="12">
        <v>219165.45454545482</v>
      </c>
    </row>
    <row r="16" spans="1:5" x14ac:dyDescent="0.3">
      <c r="A16" s="18" t="s">
        <v>53</v>
      </c>
      <c r="B16" s="12">
        <v>219165.45454545482</v>
      </c>
      <c r="D16" s="18" t="s">
        <v>53</v>
      </c>
      <c r="E16" s="12">
        <v>219165.45454545482</v>
      </c>
    </row>
    <row r="17" spans="1:5" x14ac:dyDescent="0.3">
      <c r="A17" s="18" t="s">
        <v>57</v>
      </c>
      <c r="B17" s="12">
        <v>219165.45454545482</v>
      </c>
      <c r="D17" s="18" t="s">
        <v>57</v>
      </c>
      <c r="E17" s="12">
        <v>219165.45454545482</v>
      </c>
    </row>
    <row r="18" spans="1:5" x14ac:dyDescent="0.3">
      <c r="A18" s="18" t="s">
        <v>61</v>
      </c>
      <c r="B18" s="12">
        <v>219165.45454545482</v>
      </c>
      <c r="D18" s="18" t="s">
        <v>61</v>
      </c>
      <c r="E18" s="12">
        <v>219165.45454545482</v>
      </c>
    </row>
    <row r="19" spans="1:5" x14ac:dyDescent="0.3">
      <c r="A19" s="18" t="s">
        <v>65</v>
      </c>
      <c r="B19" s="12">
        <v>219165.45454545482</v>
      </c>
      <c r="D19" s="18" t="s">
        <v>65</v>
      </c>
      <c r="E19" s="12">
        <v>219165.45454545482</v>
      </c>
    </row>
    <row r="20" spans="1:5" x14ac:dyDescent="0.3">
      <c r="A20" s="18" t="s">
        <v>70</v>
      </c>
      <c r="B20" s="12">
        <v>219165.45454545482</v>
      </c>
      <c r="D20" s="18" t="s">
        <v>70</v>
      </c>
      <c r="E20" s="12">
        <v>219165.45454545482</v>
      </c>
    </row>
    <row r="21" spans="1:5" x14ac:dyDescent="0.3">
      <c r="A21" s="18" t="s">
        <v>120</v>
      </c>
      <c r="B21" s="12">
        <v>219165.45454545482</v>
      </c>
      <c r="D21" s="18" t="s">
        <v>120</v>
      </c>
      <c r="E21" s="12">
        <v>219165.45454545482</v>
      </c>
    </row>
    <row r="22" spans="1:5" x14ac:dyDescent="0.3">
      <c r="A22" s="18" t="s">
        <v>122</v>
      </c>
      <c r="B22" s="12">
        <v>219165.45454545482</v>
      </c>
      <c r="D22" s="18" t="s">
        <v>122</v>
      </c>
      <c r="E22" s="12">
        <v>219165.45454545482</v>
      </c>
    </row>
    <row r="23" spans="1:5" x14ac:dyDescent="0.3">
      <c r="A23" s="18" t="s">
        <v>123</v>
      </c>
      <c r="B23" s="12">
        <v>219165.45454545482</v>
      </c>
      <c r="D23" s="18" t="s">
        <v>123</v>
      </c>
      <c r="E23" s="12">
        <v>219165.45454545482</v>
      </c>
    </row>
    <row r="24" spans="1:5" x14ac:dyDescent="0.3">
      <c r="A24" s="18" t="s">
        <v>134</v>
      </c>
      <c r="B24" s="12">
        <v>219165.45454545482</v>
      </c>
      <c r="D24" s="18" t="s">
        <v>134</v>
      </c>
      <c r="E24" s="12">
        <v>219165.45454545482</v>
      </c>
    </row>
    <row r="25" spans="1:5" x14ac:dyDescent="0.3">
      <c r="A25" s="18" t="s">
        <v>136</v>
      </c>
      <c r="B25" s="12">
        <v>219165.45454545482</v>
      </c>
      <c r="D25" s="18" t="s">
        <v>136</v>
      </c>
      <c r="E25" s="12">
        <v>219165.45454545482</v>
      </c>
    </row>
    <row r="26" spans="1:5" x14ac:dyDescent="0.3">
      <c r="A26" s="18" t="s">
        <v>138</v>
      </c>
      <c r="B26" s="12">
        <v>219165.45454545482</v>
      </c>
      <c r="D26" s="18" t="s">
        <v>138</v>
      </c>
      <c r="E26" s="12">
        <v>219165.45454545482</v>
      </c>
    </row>
    <row r="27" spans="1:5" x14ac:dyDescent="0.3">
      <c r="A27" s="18" t="s">
        <v>85</v>
      </c>
      <c r="B27" s="12">
        <v>219165.45454545482</v>
      </c>
      <c r="D27" s="18" t="s">
        <v>85</v>
      </c>
      <c r="E27" s="12">
        <v>219165.45454545482</v>
      </c>
    </row>
    <row r="28" spans="1:5" x14ac:dyDescent="0.3">
      <c r="A28" s="18" t="s">
        <v>88</v>
      </c>
      <c r="B28" s="12">
        <v>219165.45454545482</v>
      </c>
      <c r="D28" s="18" t="s">
        <v>88</v>
      </c>
      <c r="E28" s="12">
        <v>219165.45454545482</v>
      </c>
    </row>
    <row r="29" spans="1:5" x14ac:dyDescent="0.3">
      <c r="A29" s="18" t="s">
        <v>90</v>
      </c>
      <c r="B29" s="12">
        <v>219165.45454545482</v>
      </c>
      <c r="D29" s="18" t="s">
        <v>90</v>
      </c>
      <c r="E29" s="12">
        <v>219165.45454545482</v>
      </c>
    </row>
    <row r="30" spans="1:5" x14ac:dyDescent="0.3">
      <c r="A30" s="18" t="s">
        <v>130</v>
      </c>
      <c r="B30" s="12">
        <v>219165.45454545482</v>
      </c>
      <c r="D30" s="18" t="s">
        <v>130</v>
      </c>
      <c r="E30" s="12">
        <v>219165.45454545482</v>
      </c>
    </row>
    <row r="31" spans="1:5" x14ac:dyDescent="0.3">
      <c r="A31" s="18" t="s">
        <v>132</v>
      </c>
      <c r="B31" s="12">
        <v>219165.45454545482</v>
      </c>
      <c r="D31" s="18" t="s">
        <v>132</v>
      </c>
      <c r="E31" s="12">
        <v>219165.45454545482</v>
      </c>
    </row>
    <row r="32" spans="1:5" x14ac:dyDescent="0.3">
      <c r="A32" s="18" t="s">
        <v>203</v>
      </c>
      <c r="B32" s="12">
        <v>219165.45454545482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6A934-47B0-4F26-9CCD-82680C45CEB7}">
  <dimension ref="A3:A32"/>
  <sheetViews>
    <sheetView zoomScale="70" zoomScaleNormal="70" workbookViewId="0">
      <selection activeCell="A3" sqref="A3"/>
    </sheetView>
  </sheetViews>
  <sheetFormatPr defaultRowHeight="14.4" x14ac:dyDescent="0.3"/>
  <cols>
    <col min="1" max="1" width="22.33203125" customWidth="1"/>
  </cols>
  <sheetData>
    <row r="3" spans="1:1" x14ac:dyDescent="0.3">
      <c r="A3" s="17" t="s">
        <v>202</v>
      </c>
    </row>
    <row r="4" spans="1:1" x14ac:dyDescent="0.3">
      <c r="A4" s="18" t="s">
        <v>9</v>
      </c>
    </row>
    <row r="5" spans="1:1" x14ac:dyDescent="0.3">
      <c r="A5" s="18" t="s">
        <v>14</v>
      </c>
    </row>
    <row r="6" spans="1:1" x14ac:dyDescent="0.3">
      <c r="A6" s="18" t="s">
        <v>146</v>
      </c>
    </row>
    <row r="7" spans="1:1" x14ac:dyDescent="0.3">
      <c r="A7" s="18" t="s">
        <v>148</v>
      </c>
    </row>
    <row r="8" spans="1:1" x14ac:dyDescent="0.3">
      <c r="A8" s="18" t="s">
        <v>100</v>
      </c>
    </row>
    <row r="9" spans="1:1" x14ac:dyDescent="0.3">
      <c r="A9" s="18" t="s">
        <v>102</v>
      </c>
    </row>
    <row r="10" spans="1:1" x14ac:dyDescent="0.3">
      <c r="A10" s="18" t="s">
        <v>104</v>
      </c>
    </row>
    <row r="11" spans="1:1" x14ac:dyDescent="0.3">
      <c r="A11" s="18" t="s">
        <v>107</v>
      </c>
    </row>
    <row r="12" spans="1:1" x14ac:dyDescent="0.3">
      <c r="A12" s="18" t="s">
        <v>37</v>
      </c>
    </row>
    <row r="13" spans="1:1" x14ac:dyDescent="0.3">
      <c r="A13" s="18" t="s">
        <v>111</v>
      </c>
    </row>
    <row r="14" spans="1:1" x14ac:dyDescent="0.3">
      <c r="A14" s="18" t="s">
        <v>155</v>
      </c>
    </row>
    <row r="15" spans="1:1" x14ac:dyDescent="0.3">
      <c r="A15" s="18" t="s">
        <v>156</v>
      </c>
    </row>
    <row r="16" spans="1:1" x14ac:dyDescent="0.3">
      <c r="A16" s="18" t="s">
        <v>53</v>
      </c>
    </row>
    <row r="17" spans="1:1" x14ac:dyDescent="0.3">
      <c r="A17" s="18" t="s">
        <v>57</v>
      </c>
    </row>
    <row r="18" spans="1:1" x14ac:dyDescent="0.3">
      <c r="A18" s="18" t="s">
        <v>61</v>
      </c>
    </row>
    <row r="19" spans="1:1" x14ac:dyDescent="0.3">
      <c r="A19" s="18" t="s">
        <v>65</v>
      </c>
    </row>
    <row r="20" spans="1:1" x14ac:dyDescent="0.3">
      <c r="A20" s="18" t="s">
        <v>70</v>
      </c>
    </row>
    <row r="21" spans="1:1" x14ac:dyDescent="0.3">
      <c r="A21" s="18" t="s">
        <v>120</v>
      </c>
    </row>
    <row r="22" spans="1:1" x14ac:dyDescent="0.3">
      <c r="A22" s="18" t="s">
        <v>122</v>
      </c>
    </row>
    <row r="23" spans="1:1" x14ac:dyDescent="0.3">
      <c r="A23" s="18" t="s">
        <v>123</v>
      </c>
    </row>
    <row r="24" spans="1:1" x14ac:dyDescent="0.3">
      <c r="A24" s="18" t="s">
        <v>134</v>
      </c>
    </row>
    <row r="25" spans="1:1" x14ac:dyDescent="0.3">
      <c r="A25" s="18" t="s">
        <v>136</v>
      </c>
    </row>
    <row r="26" spans="1:1" x14ac:dyDescent="0.3">
      <c r="A26" s="18" t="s">
        <v>138</v>
      </c>
    </row>
    <row r="27" spans="1:1" x14ac:dyDescent="0.3">
      <c r="A27" s="18" t="s">
        <v>85</v>
      </c>
    </row>
    <row r="28" spans="1:1" x14ac:dyDescent="0.3">
      <c r="A28" s="18" t="s">
        <v>88</v>
      </c>
    </row>
    <row r="29" spans="1:1" x14ac:dyDescent="0.3">
      <c r="A29" s="18" t="s">
        <v>90</v>
      </c>
    </row>
    <row r="30" spans="1:1" x14ac:dyDescent="0.3">
      <c r="A30" s="18" t="s">
        <v>130</v>
      </c>
    </row>
    <row r="31" spans="1:1" x14ac:dyDescent="0.3">
      <c r="A31" s="18" t="s">
        <v>132</v>
      </c>
    </row>
    <row r="32" spans="1:1" x14ac:dyDescent="0.3">
      <c r="A32" s="18" t="s">
        <v>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6E396-E98D-4D2A-8EFA-86B1A6A8FEA3}">
  <dimension ref="A3:B105"/>
  <sheetViews>
    <sheetView topLeftCell="A89" workbookViewId="0">
      <selection activeCell="A3" sqref="A3:B105"/>
    </sheetView>
  </sheetViews>
  <sheetFormatPr defaultRowHeight="14.4" x14ac:dyDescent="0.3"/>
  <cols>
    <col min="1" max="1" width="13.6640625" bestFit="1" customWidth="1"/>
    <col min="2" max="2" width="12" bestFit="1" customWidth="1"/>
  </cols>
  <sheetData>
    <row r="3" spans="1:2" x14ac:dyDescent="0.3">
      <c r="A3" s="17" t="s">
        <v>202</v>
      </c>
      <c r="B3" t="s">
        <v>188</v>
      </c>
    </row>
    <row r="4" spans="1:2" x14ac:dyDescent="0.3">
      <c r="A4" s="18" t="s">
        <v>105</v>
      </c>
      <c r="B4" s="12">
        <v>2445.4545454545469</v>
      </c>
    </row>
    <row r="5" spans="1:2" x14ac:dyDescent="0.3">
      <c r="A5" s="18" t="s">
        <v>118</v>
      </c>
      <c r="B5" s="12">
        <v>4374.5454545454586</v>
      </c>
    </row>
    <row r="6" spans="1:2" x14ac:dyDescent="0.3">
      <c r="A6" s="18" t="s">
        <v>91</v>
      </c>
      <c r="B6" s="12">
        <v>4030.9090909090951</v>
      </c>
    </row>
    <row r="7" spans="1:2" x14ac:dyDescent="0.3">
      <c r="A7" s="18" t="s">
        <v>137</v>
      </c>
      <c r="B7" s="12">
        <v>1146.3636363636399</v>
      </c>
    </row>
    <row r="8" spans="1:2" x14ac:dyDescent="0.3">
      <c r="A8" s="18" t="s">
        <v>184</v>
      </c>
      <c r="B8" s="12">
        <v>2769.0909090909099</v>
      </c>
    </row>
    <row r="9" spans="1:2" x14ac:dyDescent="0.3">
      <c r="A9" s="18" t="s">
        <v>142</v>
      </c>
      <c r="B9" s="12">
        <v>1222.72727272727</v>
      </c>
    </row>
    <row r="10" spans="1:2" x14ac:dyDescent="0.3">
      <c r="A10" s="18" t="s">
        <v>185</v>
      </c>
      <c r="B10" s="12">
        <v>2788.1818181818198</v>
      </c>
    </row>
    <row r="11" spans="1:2" x14ac:dyDescent="0.3">
      <c r="A11" s="18" t="s">
        <v>157</v>
      </c>
      <c r="B11" s="12">
        <v>2005.45454545455</v>
      </c>
    </row>
    <row r="12" spans="1:2" x14ac:dyDescent="0.3">
      <c r="A12" s="18" t="s">
        <v>181</v>
      </c>
      <c r="B12" s="12">
        <v>2711.8181818181802</v>
      </c>
    </row>
    <row r="13" spans="1:2" x14ac:dyDescent="0.3">
      <c r="A13" s="18" t="s">
        <v>83</v>
      </c>
      <c r="B13" s="12">
        <v>459.09090909090901</v>
      </c>
    </row>
    <row r="14" spans="1:2" x14ac:dyDescent="0.3">
      <c r="A14" s="18" t="s">
        <v>133</v>
      </c>
      <c r="B14" s="12">
        <v>1108.1818181818201</v>
      </c>
    </row>
    <row r="15" spans="1:2" x14ac:dyDescent="0.3">
      <c r="A15" s="18" t="s">
        <v>81</v>
      </c>
      <c r="B15" s="12">
        <v>2579.0909090909099</v>
      </c>
    </row>
    <row r="16" spans="1:2" x14ac:dyDescent="0.3">
      <c r="A16" s="18" t="s">
        <v>127</v>
      </c>
      <c r="B16" s="12">
        <v>1012.72727272727</v>
      </c>
    </row>
    <row r="17" spans="1:2" x14ac:dyDescent="0.3">
      <c r="A17" s="18" t="s">
        <v>46</v>
      </c>
      <c r="B17" s="12">
        <v>275</v>
      </c>
    </row>
    <row r="18" spans="1:2" x14ac:dyDescent="0.3">
      <c r="A18" s="18" t="s">
        <v>94</v>
      </c>
      <c r="B18" s="12">
        <v>3037.2727272727329</v>
      </c>
    </row>
    <row r="19" spans="1:2" x14ac:dyDescent="0.3">
      <c r="A19" s="18" t="s">
        <v>149</v>
      </c>
      <c r="B19" s="12">
        <v>5061.8181818181893</v>
      </c>
    </row>
    <row r="20" spans="1:2" x14ac:dyDescent="0.3">
      <c r="A20" s="18" t="s">
        <v>158</v>
      </c>
      <c r="B20" s="12">
        <v>2043.6363636363701</v>
      </c>
    </row>
    <row r="21" spans="1:2" x14ac:dyDescent="0.3">
      <c r="A21" s="18" t="s">
        <v>182</v>
      </c>
      <c r="B21" s="12">
        <v>2730.9090909090901</v>
      </c>
    </row>
    <row r="22" spans="1:2" x14ac:dyDescent="0.3">
      <c r="A22" s="18" t="s">
        <v>143</v>
      </c>
      <c r="B22" s="12">
        <v>3037.2727272727298</v>
      </c>
    </row>
    <row r="23" spans="1:2" x14ac:dyDescent="0.3">
      <c r="A23" s="18" t="s">
        <v>128</v>
      </c>
      <c r="B23" s="12">
        <v>1031.8181818181799</v>
      </c>
    </row>
    <row r="24" spans="1:2" x14ac:dyDescent="0.3">
      <c r="A24" s="18" t="s">
        <v>126</v>
      </c>
      <c r="B24" s="12">
        <v>993.63636363636294</v>
      </c>
    </row>
    <row r="25" spans="1:2" x14ac:dyDescent="0.3">
      <c r="A25" s="18" t="s">
        <v>71</v>
      </c>
      <c r="B25" s="12">
        <v>2025.454545454543</v>
      </c>
    </row>
    <row r="26" spans="1:2" x14ac:dyDescent="0.3">
      <c r="A26" s="18" t="s">
        <v>169</v>
      </c>
      <c r="B26" s="12">
        <v>2330</v>
      </c>
    </row>
    <row r="27" spans="1:2" x14ac:dyDescent="0.3">
      <c r="A27" s="18" t="s">
        <v>174</v>
      </c>
      <c r="B27" s="12">
        <v>2559.0909090909099</v>
      </c>
    </row>
    <row r="28" spans="1:2" x14ac:dyDescent="0.3">
      <c r="A28" s="18" t="s">
        <v>162</v>
      </c>
      <c r="B28" s="12">
        <v>2158.1818181818198</v>
      </c>
    </row>
    <row r="29" spans="1:2" x14ac:dyDescent="0.3">
      <c r="A29" s="18" t="s">
        <v>147</v>
      </c>
      <c r="B29" s="12">
        <v>2999.0909090909099</v>
      </c>
    </row>
    <row r="30" spans="1:2" x14ac:dyDescent="0.3">
      <c r="A30" s="18" t="s">
        <v>179</v>
      </c>
      <c r="B30" s="12">
        <v>2673.6363636363699</v>
      </c>
    </row>
    <row r="31" spans="1:2" x14ac:dyDescent="0.3">
      <c r="A31" s="18" t="s">
        <v>115</v>
      </c>
      <c r="B31" s="12">
        <v>821.81818181818198</v>
      </c>
    </row>
    <row r="32" spans="1:2" x14ac:dyDescent="0.3">
      <c r="A32" s="18" t="s">
        <v>22</v>
      </c>
      <c r="B32" s="12">
        <v>75</v>
      </c>
    </row>
    <row r="33" spans="1:2" x14ac:dyDescent="0.3">
      <c r="A33" s="18" t="s">
        <v>121</v>
      </c>
      <c r="B33" s="12">
        <v>4450.9090909090974</v>
      </c>
    </row>
    <row r="34" spans="1:2" x14ac:dyDescent="0.3">
      <c r="A34" s="18" t="s">
        <v>153</v>
      </c>
      <c r="B34" s="12">
        <v>5653.6363636363603</v>
      </c>
    </row>
    <row r="35" spans="1:2" x14ac:dyDescent="0.3">
      <c r="A35" s="18" t="s">
        <v>129</v>
      </c>
      <c r="B35" s="12">
        <v>1050.9090909090901</v>
      </c>
    </row>
    <row r="36" spans="1:2" x14ac:dyDescent="0.3">
      <c r="A36" s="18" t="s">
        <v>101</v>
      </c>
      <c r="B36" s="12">
        <v>3744.5454545454586</v>
      </c>
    </row>
    <row r="37" spans="1:2" x14ac:dyDescent="0.3">
      <c r="A37" s="18" t="s">
        <v>86</v>
      </c>
      <c r="B37" s="12">
        <v>497.27272727272702</v>
      </c>
    </row>
    <row r="38" spans="1:2" x14ac:dyDescent="0.3">
      <c r="A38" s="18" t="s">
        <v>34</v>
      </c>
      <c r="B38" s="12">
        <v>3444.5454545454604</v>
      </c>
    </row>
    <row r="39" spans="1:2" x14ac:dyDescent="0.3">
      <c r="A39" s="18" t="s">
        <v>164</v>
      </c>
      <c r="B39" s="12">
        <v>2196.3636363636401</v>
      </c>
    </row>
    <row r="40" spans="1:2" x14ac:dyDescent="0.3">
      <c r="A40" s="18" t="s">
        <v>145</v>
      </c>
      <c r="B40" s="12">
        <v>1299.0909090909099</v>
      </c>
    </row>
    <row r="41" spans="1:2" x14ac:dyDescent="0.3">
      <c r="A41" s="18" t="s">
        <v>139</v>
      </c>
      <c r="B41" s="12">
        <v>1165.45454545455</v>
      </c>
    </row>
    <row r="42" spans="1:2" x14ac:dyDescent="0.3">
      <c r="A42" s="18" t="s">
        <v>125</v>
      </c>
      <c r="B42" s="12">
        <v>974.54545454545405</v>
      </c>
    </row>
    <row r="43" spans="1:2" x14ac:dyDescent="0.3">
      <c r="A43" s="18" t="s">
        <v>171</v>
      </c>
      <c r="B43" s="12">
        <v>2368.1818181818198</v>
      </c>
    </row>
    <row r="44" spans="1:2" x14ac:dyDescent="0.3">
      <c r="A44" s="18" t="s">
        <v>25</v>
      </c>
      <c r="B44" s="12">
        <v>130</v>
      </c>
    </row>
    <row r="45" spans="1:2" x14ac:dyDescent="0.3">
      <c r="A45" s="18" t="s">
        <v>110</v>
      </c>
      <c r="B45" s="12">
        <v>745.45454545454504</v>
      </c>
    </row>
    <row r="46" spans="1:2" x14ac:dyDescent="0.3">
      <c r="A46" s="18" t="s">
        <v>150</v>
      </c>
      <c r="B46" s="12">
        <v>1375.45454545455</v>
      </c>
    </row>
    <row r="47" spans="1:2" x14ac:dyDescent="0.3">
      <c r="A47" s="18" t="s">
        <v>186</v>
      </c>
      <c r="B47" s="12">
        <v>2807.2727272727302</v>
      </c>
    </row>
    <row r="48" spans="1:2" x14ac:dyDescent="0.3">
      <c r="A48" s="18" t="s">
        <v>152</v>
      </c>
      <c r="B48" s="12">
        <v>1413.6363636363701</v>
      </c>
    </row>
    <row r="49" spans="1:2" x14ac:dyDescent="0.3">
      <c r="A49" s="18" t="s">
        <v>131</v>
      </c>
      <c r="B49" s="12">
        <v>3629.0909090909099</v>
      </c>
    </row>
    <row r="50" spans="1:2" x14ac:dyDescent="0.3">
      <c r="A50" s="18" t="s">
        <v>95</v>
      </c>
      <c r="B50" s="12">
        <v>3075.4545454545428</v>
      </c>
    </row>
    <row r="51" spans="1:2" x14ac:dyDescent="0.3">
      <c r="A51" s="18" t="s">
        <v>144</v>
      </c>
      <c r="B51" s="12">
        <v>4508.1818181818198</v>
      </c>
    </row>
    <row r="52" spans="1:2" x14ac:dyDescent="0.3">
      <c r="A52" s="18" t="s">
        <v>163</v>
      </c>
      <c r="B52" s="12">
        <v>2177.2727272727302</v>
      </c>
    </row>
    <row r="53" spans="1:2" x14ac:dyDescent="0.3">
      <c r="A53" s="18" t="s">
        <v>79</v>
      </c>
      <c r="B53" s="12">
        <v>420.90909090909099</v>
      </c>
    </row>
    <row r="54" spans="1:2" x14ac:dyDescent="0.3">
      <c r="A54" s="18" t="s">
        <v>99</v>
      </c>
      <c r="B54" s="12">
        <v>650</v>
      </c>
    </row>
    <row r="55" spans="1:2" x14ac:dyDescent="0.3">
      <c r="A55" s="18" t="s">
        <v>108</v>
      </c>
      <c r="B55" s="12">
        <v>3725.454545454546</v>
      </c>
    </row>
    <row r="56" spans="1:2" x14ac:dyDescent="0.3">
      <c r="A56" s="18" t="s">
        <v>135</v>
      </c>
      <c r="B56" s="12">
        <v>1127.27272727273</v>
      </c>
    </row>
    <row r="57" spans="1:2" x14ac:dyDescent="0.3">
      <c r="A57" s="18" t="s">
        <v>92</v>
      </c>
      <c r="B57" s="12">
        <v>2999.090909090914</v>
      </c>
    </row>
    <row r="58" spans="1:2" x14ac:dyDescent="0.3">
      <c r="A58" s="18" t="s">
        <v>159</v>
      </c>
      <c r="B58" s="12">
        <v>2062.7272727272698</v>
      </c>
    </row>
    <row r="59" spans="1:2" x14ac:dyDescent="0.3">
      <c r="A59" s="18" t="s">
        <v>66</v>
      </c>
      <c r="B59" s="12">
        <v>344.54545454545399</v>
      </c>
    </row>
    <row r="60" spans="1:2" x14ac:dyDescent="0.3">
      <c r="A60" s="18" t="s">
        <v>73</v>
      </c>
      <c r="B60" s="12">
        <v>2006.3636363636431</v>
      </c>
    </row>
    <row r="61" spans="1:2" x14ac:dyDescent="0.3">
      <c r="A61" s="18" t="s">
        <v>167</v>
      </c>
      <c r="B61" s="12">
        <v>2272.7272727272698</v>
      </c>
    </row>
    <row r="62" spans="1:2" x14ac:dyDescent="0.3">
      <c r="A62" s="18" t="s">
        <v>165</v>
      </c>
      <c r="B62" s="12">
        <v>2234.54545454546</v>
      </c>
    </row>
    <row r="63" spans="1:2" x14ac:dyDescent="0.3">
      <c r="A63" s="18" t="s">
        <v>141</v>
      </c>
      <c r="B63" s="12">
        <v>1203.6363636363701</v>
      </c>
    </row>
    <row r="64" spans="1:2" x14ac:dyDescent="0.3">
      <c r="A64" s="18" t="s">
        <v>175</v>
      </c>
      <c r="B64" s="12">
        <v>2578.1818181818198</v>
      </c>
    </row>
    <row r="65" spans="1:2" x14ac:dyDescent="0.3">
      <c r="A65" s="18" t="s">
        <v>84</v>
      </c>
      <c r="B65" s="12">
        <v>478.18181818181802</v>
      </c>
    </row>
    <row r="66" spans="1:2" x14ac:dyDescent="0.3">
      <c r="A66" s="18" t="s">
        <v>180</v>
      </c>
      <c r="B66" s="12">
        <v>2692.7272727272698</v>
      </c>
    </row>
    <row r="67" spans="1:2" x14ac:dyDescent="0.3">
      <c r="A67" s="18" t="s">
        <v>173</v>
      </c>
      <c r="B67" s="12">
        <v>2406.3636363636401</v>
      </c>
    </row>
    <row r="68" spans="1:2" x14ac:dyDescent="0.3">
      <c r="A68" s="18" t="s">
        <v>54</v>
      </c>
      <c r="B68" s="12">
        <v>287.27272727272702</v>
      </c>
    </row>
    <row r="69" spans="1:2" x14ac:dyDescent="0.3">
      <c r="A69" s="18" t="s">
        <v>28</v>
      </c>
      <c r="B69" s="12">
        <v>310</v>
      </c>
    </row>
    <row r="70" spans="1:2" x14ac:dyDescent="0.3">
      <c r="A70" s="18" t="s">
        <v>151</v>
      </c>
      <c r="B70" s="12">
        <v>1394.54545454546</v>
      </c>
    </row>
    <row r="71" spans="1:2" x14ac:dyDescent="0.3">
      <c r="A71" s="18" t="s">
        <v>114</v>
      </c>
      <c r="B71" s="12">
        <v>802.72727272727298</v>
      </c>
    </row>
    <row r="72" spans="1:2" x14ac:dyDescent="0.3">
      <c r="A72" s="18" t="s">
        <v>117</v>
      </c>
      <c r="B72" s="12">
        <v>6532.7272727272793</v>
      </c>
    </row>
    <row r="73" spans="1:2" x14ac:dyDescent="0.3">
      <c r="A73" s="18" t="s">
        <v>43</v>
      </c>
      <c r="B73" s="12">
        <v>190</v>
      </c>
    </row>
    <row r="74" spans="1:2" x14ac:dyDescent="0.3">
      <c r="A74" s="18" t="s">
        <v>140</v>
      </c>
      <c r="B74" s="12">
        <v>1184.54545454546</v>
      </c>
    </row>
    <row r="75" spans="1:2" x14ac:dyDescent="0.3">
      <c r="A75" s="18" t="s">
        <v>154</v>
      </c>
      <c r="B75" s="12">
        <v>6035.4545454545496</v>
      </c>
    </row>
    <row r="76" spans="1:2" x14ac:dyDescent="0.3">
      <c r="A76" s="18" t="s">
        <v>168</v>
      </c>
      <c r="B76" s="12">
        <v>2291.8181818181802</v>
      </c>
    </row>
    <row r="77" spans="1:2" x14ac:dyDescent="0.3">
      <c r="A77" s="18" t="s">
        <v>113</v>
      </c>
      <c r="B77" s="12">
        <v>783.63636363636294</v>
      </c>
    </row>
    <row r="78" spans="1:2" x14ac:dyDescent="0.3">
      <c r="A78" s="18" t="s">
        <v>183</v>
      </c>
      <c r="B78" s="12">
        <v>2750</v>
      </c>
    </row>
    <row r="79" spans="1:2" x14ac:dyDescent="0.3">
      <c r="A79" s="18" t="s">
        <v>116</v>
      </c>
      <c r="B79" s="12">
        <v>6380.0000000000009</v>
      </c>
    </row>
    <row r="80" spans="1:2" x14ac:dyDescent="0.3">
      <c r="A80" s="18" t="s">
        <v>31</v>
      </c>
      <c r="B80" s="12">
        <v>95</v>
      </c>
    </row>
    <row r="81" spans="1:2" x14ac:dyDescent="0.3">
      <c r="A81" s="18" t="s">
        <v>124</v>
      </c>
      <c r="B81" s="12">
        <v>2941.8181818181847</v>
      </c>
    </row>
    <row r="82" spans="1:2" x14ac:dyDescent="0.3">
      <c r="A82" s="18" t="s">
        <v>58</v>
      </c>
      <c r="B82" s="12">
        <v>306.36363636363598</v>
      </c>
    </row>
    <row r="83" spans="1:2" x14ac:dyDescent="0.3">
      <c r="A83" s="18" t="s">
        <v>98</v>
      </c>
      <c r="B83" s="12">
        <v>3151.8181818181811</v>
      </c>
    </row>
    <row r="84" spans="1:2" x14ac:dyDescent="0.3">
      <c r="A84" s="18" t="s">
        <v>160</v>
      </c>
      <c r="B84" s="12">
        <v>2081.8181818181802</v>
      </c>
    </row>
    <row r="85" spans="1:2" x14ac:dyDescent="0.3">
      <c r="A85" s="18" t="s">
        <v>187</v>
      </c>
      <c r="B85" s="12">
        <v>11420.00000000002</v>
      </c>
    </row>
    <row r="86" spans="1:2" x14ac:dyDescent="0.3">
      <c r="A86" s="18" t="s">
        <v>97</v>
      </c>
      <c r="B86" s="12">
        <v>3113.6363636363621</v>
      </c>
    </row>
    <row r="87" spans="1:2" x14ac:dyDescent="0.3">
      <c r="A87" s="18" t="s">
        <v>89</v>
      </c>
      <c r="B87" s="12">
        <v>516.36363636363603</v>
      </c>
    </row>
    <row r="88" spans="1:2" x14ac:dyDescent="0.3">
      <c r="A88" s="18" t="s">
        <v>62</v>
      </c>
      <c r="B88" s="12">
        <v>4833.6363636363712</v>
      </c>
    </row>
    <row r="89" spans="1:2" x14ac:dyDescent="0.3">
      <c r="A89" s="18" t="s">
        <v>170</v>
      </c>
      <c r="B89" s="12">
        <v>2349.0909090909099</v>
      </c>
    </row>
    <row r="90" spans="1:2" x14ac:dyDescent="0.3">
      <c r="A90" s="18" t="s">
        <v>76</v>
      </c>
      <c r="B90" s="12">
        <v>2044.545454545452</v>
      </c>
    </row>
    <row r="91" spans="1:2" x14ac:dyDescent="0.3">
      <c r="A91" s="18" t="s">
        <v>119</v>
      </c>
      <c r="B91" s="12">
        <v>898.18181818181802</v>
      </c>
    </row>
    <row r="92" spans="1:2" x14ac:dyDescent="0.3">
      <c r="A92" s="18" t="s">
        <v>38</v>
      </c>
      <c r="B92" s="12">
        <v>245</v>
      </c>
    </row>
    <row r="93" spans="1:2" x14ac:dyDescent="0.3">
      <c r="A93" s="18" t="s">
        <v>172</v>
      </c>
      <c r="B93" s="12">
        <v>2387.2727272727302</v>
      </c>
    </row>
    <row r="94" spans="1:2" x14ac:dyDescent="0.3">
      <c r="A94" s="18" t="s">
        <v>161</v>
      </c>
      <c r="B94" s="12">
        <v>2100.9090909090901</v>
      </c>
    </row>
    <row r="95" spans="1:2" x14ac:dyDescent="0.3">
      <c r="A95" s="18" t="s">
        <v>19</v>
      </c>
      <c r="B95" s="12">
        <v>110</v>
      </c>
    </row>
    <row r="96" spans="1:2" x14ac:dyDescent="0.3">
      <c r="A96" s="18" t="s">
        <v>176</v>
      </c>
      <c r="B96" s="12">
        <v>2597.2727272727302</v>
      </c>
    </row>
    <row r="97" spans="1:2" x14ac:dyDescent="0.3">
      <c r="A97" s="18" t="s">
        <v>112</v>
      </c>
      <c r="B97" s="12">
        <v>764.54545454545405</v>
      </c>
    </row>
    <row r="98" spans="1:2" x14ac:dyDescent="0.3">
      <c r="A98" s="18" t="s">
        <v>166</v>
      </c>
      <c r="B98" s="12">
        <v>2253.6363636363699</v>
      </c>
    </row>
    <row r="99" spans="1:2" x14ac:dyDescent="0.3">
      <c r="A99" s="18" t="s">
        <v>15</v>
      </c>
      <c r="B99" s="12">
        <v>65</v>
      </c>
    </row>
    <row r="100" spans="1:2" x14ac:dyDescent="0.3">
      <c r="A100" s="18" t="s">
        <v>10</v>
      </c>
      <c r="B100" s="12">
        <v>3321.3636363636397</v>
      </c>
    </row>
    <row r="101" spans="1:2" x14ac:dyDescent="0.3">
      <c r="A101" s="18" t="s">
        <v>103</v>
      </c>
      <c r="B101" s="12">
        <v>688.18181818181802</v>
      </c>
    </row>
    <row r="102" spans="1:2" x14ac:dyDescent="0.3">
      <c r="A102" s="18" t="s">
        <v>177</v>
      </c>
      <c r="B102" s="12">
        <v>2616.3636363636401</v>
      </c>
    </row>
    <row r="103" spans="1:2" x14ac:dyDescent="0.3">
      <c r="A103" s="18" t="s">
        <v>49</v>
      </c>
      <c r="B103" s="12">
        <v>268.18181818181802</v>
      </c>
    </row>
    <row r="104" spans="1:2" x14ac:dyDescent="0.3">
      <c r="A104" s="18" t="s">
        <v>178</v>
      </c>
      <c r="B104" s="12">
        <v>2635.45454545455</v>
      </c>
    </row>
    <row r="105" spans="1:2" x14ac:dyDescent="0.3">
      <c r="A105" s="18" t="s">
        <v>203</v>
      </c>
      <c r="B105" s="12">
        <v>219165.45454545473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F8487-9441-4A35-AAE8-679558ED4743}">
  <dimension ref="A3:B14"/>
  <sheetViews>
    <sheetView topLeftCell="A28" zoomScale="85" zoomScaleNormal="85" workbookViewId="0">
      <selection activeCell="H40" sqref="H40"/>
    </sheetView>
  </sheetViews>
  <sheetFormatPr defaultRowHeight="14.4" x14ac:dyDescent="0.3"/>
  <cols>
    <col min="1" max="1" width="19.5546875" bestFit="1" customWidth="1"/>
    <col min="2" max="2" width="12.44140625" bestFit="1" customWidth="1"/>
  </cols>
  <sheetData>
    <row r="3" spans="1:2" x14ac:dyDescent="0.3">
      <c r="A3" s="17" t="s">
        <v>202</v>
      </c>
      <c r="B3" t="s">
        <v>282</v>
      </c>
    </row>
    <row r="4" spans="1:2" x14ac:dyDescent="0.3">
      <c r="A4" s="18" t="s">
        <v>225</v>
      </c>
      <c r="B4" s="12">
        <v>7399.0909090909017</v>
      </c>
    </row>
    <row r="5" spans="1:2" x14ac:dyDescent="0.3">
      <c r="A5" s="18" t="s">
        <v>223</v>
      </c>
      <c r="B5" s="12">
        <v>7378.1818181818362</v>
      </c>
    </row>
    <row r="6" spans="1:2" x14ac:dyDescent="0.3">
      <c r="A6" s="18" t="s">
        <v>224</v>
      </c>
      <c r="B6" s="12">
        <v>7258.6363636363531</v>
      </c>
    </row>
    <row r="7" spans="1:2" x14ac:dyDescent="0.3">
      <c r="A7" s="18" t="s">
        <v>222</v>
      </c>
      <c r="B7" s="12">
        <v>7102.7272727272884</v>
      </c>
    </row>
    <row r="8" spans="1:2" x14ac:dyDescent="0.3">
      <c r="A8" s="18" t="s">
        <v>221</v>
      </c>
      <c r="B8" s="12">
        <v>6952.2727272727407</v>
      </c>
    </row>
    <row r="9" spans="1:2" x14ac:dyDescent="0.3">
      <c r="A9" s="18" t="s">
        <v>220</v>
      </c>
      <c r="B9" s="12">
        <v>6891.8181818181911</v>
      </c>
    </row>
    <row r="10" spans="1:2" x14ac:dyDescent="0.3">
      <c r="A10" s="18" t="s">
        <v>219</v>
      </c>
      <c r="B10" s="12">
        <v>6751.3636363636433</v>
      </c>
    </row>
    <row r="11" spans="1:2" x14ac:dyDescent="0.3">
      <c r="A11" s="18" t="s">
        <v>218</v>
      </c>
      <c r="B11" s="12">
        <v>6645.9090909090955</v>
      </c>
    </row>
    <row r="12" spans="1:2" x14ac:dyDescent="0.3">
      <c r="A12" s="18" t="s">
        <v>239</v>
      </c>
      <c r="B12" s="12">
        <v>6495.4545454545478</v>
      </c>
    </row>
    <row r="13" spans="1:2" x14ac:dyDescent="0.3">
      <c r="A13" s="18" t="s">
        <v>238</v>
      </c>
      <c r="B13" s="12">
        <v>6400</v>
      </c>
    </row>
    <row r="14" spans="1:2" x14ac:dyDescent="0.3">
      <c r="A14" s="18" t="s">
        <v>203</v>
      </c>
      <c r="B14" s="12">
        <v>69275.454545454602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B4D1C-002C-4E85-9C1F-A93CB469EF35}">
  <dimension ref="A1:P151"/>
  <sheetViews>
    <sheetView topLeftCell="D2" zoomScale="55" zoomScaleNormal="55" workbookViewId="0">
      <selection activeCell="J2" sqref="J2:L151"/>
    </sheetView>
  </sheetViews>
  <sheetFormatPr defaultRowHeight="14.4" x14ac:dyDescent="0.3"/>
  <cols>
    <col min="1" max="1" width="7.44140625" bestFit="1" customWidth="1"/>
    <col min="2" max="2" width="16.109375" bestFit="1" customWidth="1"/>
    <col min="3" max="3" width="16.44140625" bestFit="1" customWidth="1"/>
    <col min="4" max="4" width="16.44140625" customWidth="1"/>
    <col min="5" max="5" width="13" bestFit="1" customWidth="1"/>
    <col min="6" max="6" width="12.44140625" bestFit="1" customWidth="1"/>
    <col min="7" max="7" width="27.33203125" bestFit="1" customWidth="1"/>
    <col min="8" max="8" width="15.6640625" bestFit="1" customWidth="1"/>
    <col min="9" max="9" width="18.44140625" bestFit="1" customWidth="1"/>
    <col min="10" max="10" width="21.77734375" bestFit="1" customWidth="1"/>
    <col min="11" max="11" width="16.21875" bestFit="1" customWidth="1"/>
    <col min="12" max="12" width="14.6640625" customWidth="1"/>
    <col min="13" max="13" width="14.6640625" bestFit="1" customWidth="1"/>
    <col min="14" max="14" width="20.33203125" bestFit="1" customWidth="1"/>
  </cols>
  <sheetData>
    <row r="1" spans="1:14" x14ac:dyDescent="0.3">
      <c r="K1" t="str">
        <f>IF(ISNUMBER(SEARCH("Chicken",J2)),"Non Veg",
IF(ISNUMBER(SEARCH("Mutton",J2)),"Non Veg",
IF(ISNUMBER(SEARCH("Fish",J2)),"Non Veg",
IF(ISNUMBER(SEARCH("Prawn",J2)),"Non Veg",
IF(ISNUMBER(SEARCH("Egg",J2)),"Non Veg","Veg")))))</f>
        <v>Veg</v>
      </c>
    </row>
    <row r="2" spans="1:14" ht="15" thickBot="1" x14ac:dyDescent="0.35">
      <c r="A2" s="1" t="s">
        <v>0</v>
      </c>
      <c r="B2" s="2" t="s">
        <v>1</v>
      </c>
      <c r="C2" s="2" t="s">
        <v>2</v>
      </c>
      <c r="D2" s="2" t="s">
        <v>273</v>
      </c>
      <c r="E2" s="20" t="s">
        <v>272</v>
      </c>
      <c r="F2" s="2" t="s">
        <v>264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217</v>
      </c>
      <c r="L2" s="2" t="s">
        <v>281</v>
      </c>
      <c r="M2" s="2" t="s">
        <v>7</v>
      </c>
      <c r="N2" s="3" t="s">
        <v>8</v>
      </c>
    </row>
    <row r="3" spans="1:14" ht="15" thickTop="1" x14ac:dyDescent="0.3">
      <c r="A3" s="4">
        <v>1</v>
      </c>
      <c r="B3" s="5" t="s">
        <v>9</v>
      </c>
      <c r="C3" s="5" t="s">
        <v>10</v>
      </c>
      <c r="D3" s="9" t="s">
        <v>274</v>
      </c>
      <c r="E3" s="6">
        <v>45662</v>
      </c>
      <c r="F3" s="6" t="s">
        <v>265</v>
      </c>
      <c r="G3" s="5" t="s">
        <v>11</v>
      </c>
      <c r="H3" s="5" t="s">
        <v>12</v>
      </c>
      <c r="I3" s="7" t="s">
        <v>13</v>
      </c>
      <c r="J3" s="19" t="s">
        <v>218</v>
      </c>
      <c r="K3" t="s">
        <v>240</v>
      </c>
      <c r="L3" s="5">
        <v>55</v>
      </c>
      <c r="M3" s="5">
        <v>4.2</v>
      </c>
      <c r="N3" s="7">
        <v>25</v>
      </c>
    </row>
    <row r="4" spans="1:14" x14ac:dyDescent="0.3">
      <c r="A4" s="8">
        <v>2</v>
      </c>
      <c r="B4" s="9" t="s">
        <v>14</v>
      </c>
      <c r="C4" s="9" t="s">
        <v>15</v>
      </c>
      <c r="D4" s="9" t="s">
        <v>274</v>
      </c>
      <c r="E4" s="10">
        <v>45706</v>
      </c>
      <c r="F4" s="6" t="s">
        <v>266</v>
      </c>
      <c r="G4" s="9" t="s">
        <v>16</v>
      </c>
      <c r="H4" s="9" t="s">
        <v>17</v>
      </c>
      <c r="I4" s="11" t="s">
        <v>18</v>
      </c>
      <c r="J4" t="s">
        <v>219</v>
      </c>
      <c r="K4" t="s">
        <v>240</v>
      </c>
      <c r="L4" s="9">
        <v>65</v>
      </c>
      <c r="M4" s="9">
        <v>4.5</v>
      </c>
      <c r="N4" s="11">
        <v>48</v>
      </c>
    </row>
    <row r="5" spans="1:14" x14ac:dyDescent="0.3">
      <c r="A5" s="4">
        <v>3</v>
      </c>
      <c r="B5" s="5" t="s">
        <v>14</v>
      </c>
      <c r="C5" s="5" t="s">
        <v>19</v>
      </c>
      <c r="D5" s="9" t="s">
        <v>274</v>
      </c>
      <c r="E5" s="6">
        <v>45743</v>
      </c>
      <c r="F5" s="6" t="s">
        <v>267</v>
      </c>
      <c r="G5" s="5" t="s">
        <v>20</v>
      </c>
      <c r="H5" s="5" t="s">
        <v>21</v>
      </c>
      <c r="I5" s="7" t="s">
        <v>18</v>
      </c>
      <c r="J5" t="s">
        <v>220</v>
      </c>
      <c r="K5" t="s">
        <v>240</v>
      </c>
      <c r="L5" s="5">
        <v>110</v>
      </c>
      <c r="M5" s="5">
        <v>4.7</v>
      </c>
      <c r="N5" s="7">
        <v>72</v>
      </c>
    </row>
    <row r="6" spans="1:14" x14ac:dyDescent="0.3">
      <c r="A6" s="8">
        <v>4</v>
      </c>
      <c r="B6" s="9" t="s">
        <v>14</v>
      </c>
      <c r="C6" s="9" t="s">
        <v>22</v>
      </c>
      <c r="D6" s="9" t="s">
        <v>275</v>
      </c>
      <c r="E6" s="10">
        <v>45758</v>
      </c>
      <c r="F6" s="6" t="s">
        <v>268</v>
      </c>
      <c r="G6" s="9" t="s">
        <v>23</v>
      </c>
      <c r="H6" s="9" t="s">
        <v>24</v>
      </c>
      <c r="I6" s="11" t="s">
        <v>18</v>
      </c>
      <c r="J6" t="s">
        <v>221</v>
      </c>
      <c r="K6" t="s">
        <v>240</v>
      </c>
      <c r="L6" s="9">
        <v>75</v>
      </c>
      <c r="M6" s="9">
        <v>4.0999999999999996</v>
      </c>
      <c r="N6" s="11">
        <v>15</v>
      </c>
    </row>
    <row r="7" spans="1:14" x14ac:dyDescent="0.3">
      <c r="A7" s="4">
        <v>5</v>
      </c>
      <c r="B7" s="5" t="s">
        <v>14</v>
      </c>
      <c r="C7" s="5" t="s">
        <v>25</v>
      </c>
      <c r="D7" s="9" t="s">
        <v>275</v>
      </c>
      <c r="E7" s="6">
        <v>45799</v>
      </c>
      <c r="F7" s="6" t="s">
        <v>267</v>
      </c>
      <c r="G7" s="5" t="s">
        <v>26</v>
      </c>
      <c r="H7" s="5" t="s">
        <v>27</v>
      </c>
      <c r="I7" s="7" t="s">
        <v>18</v>
      </c>
      <c r="J7" t="s">
        <v>222</v>
      </c>
      <c r="K7" t="s">
        <v>240</v>
      </c>
      <c r="L7" s="5">
        <v>130</v>
      </c>
      <c r="M7" s="5">
        <v>4.4000000000000004</v>
      </c>
      <c r="N7" s="7">
        <v>96</v>
      </c>
    </row>
    <row r="8" spans="1:14" x14ac:dyDescent="0.3">
      <c r="A8" s="8">
        <v>6</v>
      </c>
      <c r="B8" s="9" t="s">
        <v>14</v>
      </c>
      <c r="C8" s="9" t="s">
        <v>28</v>
      </c>
      <c r="D8" s="9" t="s">
        <v>275</v>
      </c>
      <c r="E8" s="10">
        <v>45817</v>
      </c>
      <c r="F8" s="10" t="s">
        <v>269</v>
      </c>
      <c r="G8" s="9" t="s">
        <v>29</v>
      </c>
      <c r="H8" s="9" t="s">
        <v>30</v>
      </c>
      <c r="I8" s="11" t="s">
        <v>18</v>
      </c>
      <c r="J8" t="s">
        <v>223</v>
      </c>
      <c r="K8" t="s">
        <v>240</v>
      </c>
      <c r="L8" s="9">
        <v>310</v>
      </c>
      <c r="M8" s="9">
        <v>4.8</v>
      </c>
      <c r="N8" s="11">
        <v>134</v>
      </c>
    </row>
    <row r="9" spans="1:14" x14ac:dyDescent="0.3">
      <c r="A9" s="4">
        <v>7</v>
      </c>
      <c r="B9" s="5" t="s">
        <v>14</v>
      </c>
      <c r="C9" s="5" t="s">
        <v>31</v>
      </c>
      <c r="D9" s="9" t="s">
        <v>276</v>
      </c>
      <c r="E9" s="6">
        <v>45853</v>
      </c>
      <c r="F9" s="6" t="s">
        <v>266</v>
      </c>
      <c r="G9" s="5" t="s">
        <v>32</v>
      </c>
      <c r="H9" s="5" t="s">
        <v>33</v>
      </c>
      <c r="I9" s="7" t="s">
        <v>18</v>
      </c>
      <c r="J9" t="s">
        <v>224</v>
      </c>
      <c r="K9" t="s">
        <v>240</v>
      </c>
      <c r="L9" s="5">
        <v>95</v>
      </c>
      <c r="M9" s="5">
        <v>4.3</v>
      </c>
      <c r="N9" s="7">
        <v>58</v>
      </c>
    </row>
    <row r="10" spans="1:14" x14ac:dyDescent="0.3">
      <c r="A10" s="8">
        <v>8</v>
      </c>
      <c r="B10" s="9" t="s">
        <v>14</v>
      </c>
      <c r="C10" s="9" t="s">
        <v>34</v>
      </c>
      <c r="D10" s="9" t="s">
        <v>276</v>
      </c>
      <c r="E10" s="10">
        <v>45897</v>
      </c>
      <c r="F10" s="10" t="s">
        <v>267</v>
      </c>
      <c r="G10" s="9" t="s">
        <v>35</v>
      </c>
      <c r="H10" s="9" t="s">
        <v>36</v>
      </c>
      <c r="I10" s="11" t="s">
        <v>18</v>
      </c>
      <c r="J10" t="s">
        <v>225</v>
      </c>
      <c r="K10" t="s">
        <v>240</v>
      </c>
      <c r="L10" s="9">
        <v>140</v>
      </c>
      <c r="M10" s="9">
        <v>4.5999999999999996</v>
      </c>
      <c r="N10" s="11">
        <v>87</v>
      </c>
    </row>
    <row r="11" spans="1:14" x14ac:dyDescent="0.3">
      <c r="A11" s="4">
        <v>9</v>
      </c>
      <c r="B11" s="5" t="s">
        <v>37</v>
      </c>
      <c r="C11" s="5" t="s">
        <v>38</v>
      </c>
      <c r="D11" s="9" t="s">
        <v>276</v>
      </c>
      <c r="E11" s="6">
        <v>45903</v>
      </c>
      <c r="F11" s="6" t="s">
        <v>270</v>
      </c>
      <c r="G11" s="5" t="s">
        <v>39</v>
      </c>
      <c r="H11" s="5" t="s">
        <v>40</v>
      </c>
      <c r="I11" s="7" t="s">
        <v>41</v>
      </c>
      <c r="J11" t="s">
        <v>226</v>
      </c>
      <c r="K11" t="s">
        <v>240</v>
      </c>
      <c r="L11" s="5">
        <v>245</v>
      </c>
      <c r="M11" s="5">
        <v>4</v>
      </c>
      <c r="N11" s="7">
        <v>22</v>
      </c>
    </row>
    <row r="12" spans="1:14" x14ac:dyDescent="0.3">
      <c r="A12" s="8">
        <v>10</v>
      </c>
      <c r="B12" s="9" t="s">
        <v>37</v>
      </c>
      <c r="C12" s="9" t="s">
        <v>43</v>
      </c>
      <c r="D12" s="9" t="s">
        <v>277</v>
      </c>
      <c r="E12" s="10">
        <v>45949</v>
      </c>
      <c r="F12" s="10" t="s">
        <v>265</v>
      </c>
      <c r="G12" s="9" t="s">
        <v>44</v>
      </c>
      <c r="H12" s="9" t="s">
        <v>45</v>
      </c>
      <c r="I12" s="11" t="s">
        <v>41</v>
      </c>
      <c r="J12" t="s">
        <v>227</v>
      </c>
      <c r="K12" t="s">
        <v>240</v>
      </c>
      <c r="L12" s="9">
        <v>190</v>
      </c>
      <c r="M12" s="9">
        <v>4.5</v>
      </c>
      <c r="N12" s="11">
        <v>65</v>
      </c>
    </row>
    <row r="13" spans="1:14" x14ac:dyDescent="0.3">
      <c r="A13" s="4">
        <v>11</v>
      </c>
      <c r="B13" s="5" t="s">
        <v>37</v>
      </c>
      <c r="C13" s="5" t="s">
        <v>46</v>
      </c>
      <c r="D13" s="9" t="s">
        <v>277</v>
      </c>
      <c r="E13" s="6">
        <v>45968</v>
      </c>
      <c r="F13" s="6" t="s">
        <v>268</v>
      </c>
      <c r="G13" s="5" t="s">
        <v>47</v>
      </c>
      <c r="H13" s="5" t="s">
        <v>48</v>
      </c>
      <c r="I13" s="7" t="s">
        <v>41</v>
      </c>
      <c r="J13" t="s">
        <v>228</v>
      </c>
      <c r="K13" t="s">
        <v>240</v>
      </c>
      <c r="L13" s="5">
        <v>275</v>
      </c>
      <c r="M13" s="5">
        <v>4.7</v>
      </c>
      <c r="N13" s="7">
        <v>110</v>
      </c>
    </row>
    <row r="14" spans="1:14" x14ac:dyDescent="0.3">
      <c r="A14" s="8">
        <v>12</v>
      </c>
      <c r="B14" s="9" t="s">
        <v>37</v>
      </c>
      <c r="C14" s="9" t="s">
        <v>49</v>
      </c>
      <c r="D14" s="9" t="s">
        <v>277</v>
      </c>
      <c r="E14" s="10">
        <v>46015</v>
      </c>
      <c r="F14" s="10" t="s">
        <v>270</v>
      </c>
      <c r="G14" s="9" t="s">
        <v>50</v>
      </c>
      <c r="H14" s="9" t="s">
        <v>51</v>
      </c>
      <c r="I14" s="11" t="s">
        <v>41</v>
      </c>
      <c r="J14" t="s">
        <v>229</v>
      </c>
      <c r="K14" t="s">
        <v>240</v>
      </c>
      <c r="L14" s="9">
        <v>268.18181818181802</v>
      </c>
      <c r="M14" s="9">
        <v>4.5072727272727304</v>
      </c>
      <c r="N14" s="11">
        <v>91.036363636363603</v>
      </c>
    </row>
    <row r="15" spans="1:14" x14ac:dyDescent="0.3">
      <c r="A15" s="4">
        <v>13</v>
      </c>
      <c r="B15" s="5" t="s">
        <v>53</v>
      </c>
      <c r="C15" s="5" t="s">
        <v>54</v>
      </c>
      <c r="D15" s="9" t="s">
        <v>274</v>
      </c>
      <c r="E15" s="6">
        <v>45670</v>
      </c>
      <c r="F15" s="6" t="s">
        <v>269</v>
      </c>
      <c r="G15" s="5" t="s">
        <v>55</v>
      </c>
      <c r="H15" s="5" t="s">
        <v>56</v>
      </c>
      <c r="I15" s="7" t="s">
        <v>41</v>
      </c>
      <c r="J15" t="s">
        <v>230</v>
      </c>
      <c r="K15" t="s">
        <v>240</v>
      </c>
      <c r="L15" s="5">
        <v>287.27272727272702</v>
      </c>
      <c r="M15" s="5">
        <v>4.5190909090909104</v>
      </c>
      <c r="N15" s="7">
        <v>95.118181818181796</v>
      </c>
    </row>
    <row r="16" spans="1:14" x14ac:dyDescent="0.3">
      <c r="A16" s="8">
        <v>14</v>
      </c>
      <c r="B16" s="9" t="s">
        <v>57</v>
      </c>
      <c r="C16" s="9" t="s">
        <v>58</v>
      </c>
      <c r="D16" s="9" t="s">
        <v>274</v>
      </c>
      <c r="E16" s="10">
        <v>45714</v>
      </c>
      <c r="F16" s="10" t="s">
        <v>270</v>
      </c>
      <c r="G16" s="9" t="s">
        <v>59</v>
      </c>
      <c r="H16" s="9" t="s">
        <v>60</v>
      </c>
      <c r="I16" s="11" t="s">
        <v>41</v>
      </c>
      <c r="J16" t="s">
        <v>231</v>
      </c>
      <c r="K16" t="s">
        <v>240</v>
      </c>
      <c r="L16" s="9">
        <v>306.36363636363598</v>
      </c>
      <c r="M16" s="9">
        <v>4.5309090909090903</v>
      </c>
      <c r="N16" s="11">
        <v>99.2</v>
      </c>
    </row>
    <row r="17" spans="1:14" x14ac:dyDescent="0.3">
      <c r="A17" s="4">
        <v>15</v>
      </c>
      <c r="B17" s="5" t="s">
        <v>61</v>
      </c>
      <c r="C17" s="5" t="s">
        <v>62</v>
      </c>
      <c r="D17" s="9" t="s">
        <v>274</v>
      </c>
      <c r="E17" s="6">
        <v>45724</v>
      </c>
      <c r="F17" s="6" t="s">
        <v>271</v>
      </c>
      <c r="G17" s="5" t="s">
        <v>63</v>
      </c>
      <c r="H17" s="5" t="s">
        <v>64</v>
      </c>
      <c r="I17" s="7" t="s">
        <v>41</v>
      </c>
      <c r="J17" t="s">
        <v>232</v>
      </c>
      <c r="K17" t="s">
        <v>240</v>
      </c>
      <c r="L17" s="5">
        <v>325.45454545454498</v>
      </c>
      <c r="M17" s="5">
        <v>4.5427272727272703</v>
      </c>
      <c r="N17" s="7">
        <v>103.281818181818</v>
      </c>
    </row>
    <row r="18" spans="1:14" x14ac:dyDescent="0.3">
      <c r="A18" s="8">
        <v>16</v>
      </c>
      <c r="B18" s="9" t="s">
        <v>65</v>
      </c>
      <c r="C18" s="9" t="s">
        <v>66</v>
      </c>
      <c r="D18" s="9" t="s">
        <v>275</v>
      </c>
      <c r="E18" s="10">
        <v>45768</v>
      </c>
      <c r="F18" s="10" t="s">
        <v>269</v>
      </c>
      <c r="G18" s="9" t="s">
        <v>67</v>
      </c>
      <c r="H18" s="9" t="s">
        <v>12</v>
      </c>
      <c r="I18" s="11" t="s">
        <v>68</v>
      </c>
      <c r="J18" t="s">
        <v>233</v>
      </c>
      <c r="K18" t="s">
        <v>240</v>
      </c>
      <c r="L18" s="9">
        <v>344.54545454545399</v>
      </c>
      <c r="M18" s="9">
        <v>4.5545454545454502</v>
      </c>
      <c r="N18" s="11">
        <v>107.363636363636</v>
      </c>
    </row>
    <row r="19" spans="1:14" x14ac:dyDescent="0.3">
      <c r="A19" s="4">
        <v>17</v>
      </c>
      <c r="B19" s="5" t="s">
        <v>70</v>
      </c>
      <c r="C19" s="5" t="s">
        <v>71</v>
      </c>
      <c r="D19" s="9" t="s">
        <v>275</v>
      </c>
      <c r="E19" s="6">
        <v>45779</v>
      </c>
      <c r="F19" s="6" t="s">
        <v>268</v>
      </c>
      <c r="G19" s="5" t="s">
        <v>72</v>
      </c>
      <c r="H19" s="5" t="s">
        <v>17</v>
      </c>
      <c r="I19" s="7" t="s">
        <v>68</v>
      </c>
      <c r="J19" t="s">
        <v>234</v>
      </c>
      <c r="K19" t="s">
        <v>240</v>
      </c>
      <c r="L19" s="5">
        <v>363.636363636363</v>
      </c>
      <c r="M19" s="5">
        <v>4.56636363636364</v>
      </c>
      <c r="N19" s="7">
        <v>111.44545454545499</v>
      </c>
    </row>
    <row r="20" spans="1:14" x14ac:dyDescent="0.3">
      <c r="A20" s="8">
        <v>18</v>
      </c>
      <c r="B20" s="9" t="s">
        <v>70</v>
      </c>
      <c r="C20" s="9" t="s">
        <v>73</v>
      </c>
      <c r="D20" s="9" t="s">
        <v>275</v>
      </c>
      <c r="E20" s="10">
        <v>45825</v>
      </c>
      <c r="F20" s="10" t="s">
        <v>266</v>
      </c>
      <c r="G20" s="9" t="s">
        <v>74</v>
      </c>
      <c r="H20" s="9" t="s">
        <v>21</v>
      </c>
      <c r="I20" s="11" t="s">
        <v>68</v>
      </c>
      <c r="J20" t="s">
        <v>235</v>
      </c>
      <c r="K20" t="s">
        <v>240</v>
      </c>
      <c r="L20" s="9">
        <v>382.72727272727298</v>
      </c>
      <c r="M20" s="9">
        <v>4.5781818181818199</v>
      </c>
      <c r="N20" s="11">
        <v>115.527272727273</v>
      </c>
    </row>
    <row r="21" spans="1:14" x14ac:dyDescent="0.3">
      <c r="A21" s="4">
        <v>19</v>
      </c>
      <c r="B21" s="5" t="s">
        <v>70</v>
      </c>
      <c r="C21" s="5" t="s">
        <v>76</v>
      </c>
      <c r="D21" s="9" t="s">
        <v>276</v>
      </c>
      <c r="E21" s="6">
        <v>45867</v>
      </c>
      <c r="F21" s="6" t="s">
        <v>266</v>
      </c>
      <c r="G21" s="5" t="s">
        <v>77</v>
      </c>
      <c r="H21" s="5" t="s">
        <v>24</v>
      </c>
      <c r="I21" s="7" t="s">
        <v>68</v>
      </c>
      <c r="J21" t="s">
        <v>236</v>
      </c>
      <c r="K21" t="s">
        <v>240</v>
      </c>
      <c r="L21" s="5">
        <v>401.81818181818198</v>
      </c>
      <c r="M21" s="5">
        <v>4.59</v>
      </c>
      <c r="N21" s="7">
        <v>119.60909090909099</v>
      </c>
    </row>
    <row r="22" spans="1:14" x14ac:dyDescent="0.3">
      <c r="A22" s="8">
        <v>20</v>
      </c>
      <c r="B22" s="9" t="s">
        <v>70</v>
      </c>
      <c r="C22" s="9" t="s">
        <v>79</v>
      </c>
      <c r="D22" s="9" t="s">
        <v>276</v>
      </c>
      <c r="E22" s="10">
        <v>45883</v>
      </c>
      <c r="F22" s="10" t="s">
        <v>267</v>
      </c>
      <c r="G22" s="9" t="s">
        <v>80</v>
      </c>
      <c r="H22" s="9" t="s">
        <v>27</v>
      </c>
      <c r="I22" s="11" t="s">
        <v>68</v>
      </c>
      <c r="J22" t="s">
        <v>237</v>
      </c>
      <c r="K22" t="s">
        <v>240</v>
      </c>
      <c r="L22" s="9">
        <v>420.90909090909099</v>
      </c>
      <c r="M22" s="9">
        <v>4.6018181818181798</v>
      </c>
      <c r="N22" s="11">
        <v>123.690909090909</v>
      </c>
    </row>
    <row r="23" spans="1:14" x14ac:dyDescent="0.3">
      <c r="A23" s="4">
        <v>21</v>
      </c>
      <c r="B23" s="5" t="s">
        <v>70</v>
      </c>
      <c r="C23" s="5" t="s">
        <v>81</v>
      </c>
      <c r="D23" s="5" t="s">
        <v>276</v>
      </c>
      <c r="E23" s="6">
        <v>45925</v>
      </c>
      <c r="F23" s="6" t="s">
        <v>267</v>
      </c>
      <c r="G23" s="5" t="s">
        <v>11</v>
      </c>
      <c r="H23" s="5" t="s">
        <v>30</v>
      </c>
      <c r="I23" s="7" t="s">
        <v>82</v>
      </c>
      <c r="J23" t="s">
        <v>238</v>
      </c>
      <c r="K23" t="s">
        <v>240</v>
      </c>
      <c r="L23" s="5">
        <v>440</v>
      </c>
      <c r="M23" s="5">
        <v>4.6136363636363598</v>
      </c>
      <c r="N23" s="7">
        <v>127.772727272727</v>
      </c>
    </row>
    <row r="24" spans="1:14" x14ac:dyDescent="0.3">
      <c r="A24" s="8">
        <v>22</v>
      </c>
      <c r="B24" s="9" t="s">
        <v>70</v>
      </c>
      <c r="C24" s="9" t="s">
        <v>83</v>
      </c>
      <c r="D24" s="9" t="s">
        <v>277</v>
      </c>
      <c r="E24" s="10">
        <v>45940</v>
      </c>
      <c r="F24" s="10" t="s">
        <v>268</v>
      </c>
      <c r="G24" s="9" t="s">
        <v>16</v>
      </c>
      <c r="H24" s="9" t="s">
        <v>33</v>
      </c>
      <c r="I24" s="11" t="s">
        <v>82</v>
      </c>
      <c r="J24" t="s">
        <v>239</v>
      </c>
      <c r="K24" t="s">
        <v>240</v>
      </c>
      <c r="L24" s="9">
        <v>459.09090909090901</v>
      </c>
      <c r="M24" s="9">
        <v>4.6254545454545504</v>
      </c>
      <c r="N24" s="11">
        <v>131.85454545454499</v>
      </c>
    </row>
    <row r="25" spans="1:14" x14ac:dyDescent="0.3">
      <c r="A25" s="4">
        <v>23</v>
      </c>
      <c r="B25" s="5" t="s">
        <v>70</v>
      </c>
      <c r="C25" s="5" t="s">
        <v>84</v>
      </c>
      <c r="D25" s="5" t="s">
        <v>277</v>
      </c>
      <c r="E25" s="6">
        <v>45979</v>
      </c>
      <c r="F25" s="6" t="s">
        <v>266</v>
      </c>
      <c r="G25" s="5" t="s">
        <v>20</v>
      </c>
      <c r="H25" s="5" t="s">
        <v>36</v>
      </c>
      <c r="I25" s="7" t="s">
        <v>82</v>
      </c>
      <c r="J25" t="s">
        <v>218</v>
      </c>
      <c r="K25" t="s">
        <v>240</v>
      </c>
      <c r="L25" s="5">
        <v>478.18181818181802</v>
      </c>
      <c r="M25" s="5">
        <v>4.6372727272727303</v>
      </c>
      <c r="N25" s="7">
        <v>135.93636363636401</v>
      </c>
    </row>
    <row r="26" spans="1:14" x14ac:dyDescent="0.3">
      <c r="A26" s="8">
        <v>24</v>
      </c>
      <c r="B26" s="9" t="s">
        <v>85</v>
      </c>
      <c r="C26" s="9" t="s">
        <v>86</v>
      </c>
      <c r="D26" s="9" t="s">
        <v>277</v>
      </c>
      <c r="E26" s="10">
        <v>46021</v>
      </c>
      <c r="F26" s="10" t="s">
        <v>266</v>
      </c>
      <c r="G26" s="9" t="s">
        <v>23</v>
      </c>
      <c r="H26" s="9" t="s">
        <v>40</v>
      </c>
      <c r="I26" s="11" t="s">
        <v>87</v>
      </c>
      <c r="J26" t="s">
        <v>219</v>
      </c>
      <c r="K26" t="s">
        <v>240</v>
      </c>
      <c r="L26" s="9">
        <v>497.27272727272702</v>
      </c>
      <c r="M26" s="9">
        <v>4.6490909090909103</v>
      </c>
      <c r="N26" s="11">
        <v>140.018181818182</v>
      </c>
    </row>
    <row r="27" spans="1:14" x14ac:dyDescent="0.3">
      <c r="A27" s="4">
        <v>25</v>
      </c>
      <c r="B27" s="5" t="s">
        <v>88</v>
      </c>
      <c r="C27" s="5" t="s">
        <v>89</v>
      </c>
      <c r="D27" s="5" t="s">
        <v>274</v>
      </c>
      <c r="E27" s="6">
        <v>45661</v>
      </c>
      <c r="F27" s="6" t="s">
        <v>271</v>
      </c>
      <c r="G27" s="5" t="s">
        <v>26</v>
      </c>
      <c r="H27" s="5" t="s">
        <v>45</v>
      </c>
      <c r="I27" s="7" t="s">
        <v>87</v>
      </c>
      <c r="J27" t="s">
        <v>220</v>
      </c>
      <c r="K27" t="s">
        <v>240</v>
      </c>
      <c r="L27" s="5">
        <v>516.36363636363603</v>
      </c>
      <c r="M27" s="5">
        <v>4.6609090909090902</v>
      </c>
      <c r="N27" s="7">
        <v>144.1</v>
      </c>
    </row>
    <row r="28" spans="1:14" x14ac:dyDescent="0.3">
      <c r="A28" s="8">
        <v>26</v>
      </c>
      <c r="B28" s="9" t="s">
        <v>90</v>
      </c>
      <c r="C28" s="9" t="s">
        <v>91</v>
      </c>
      <c r="D28" s="9" t="s">
        <v>274</v>
      </c>
      <c r="E28" s="10">
        <v>45704</v>
      </c>
      <c r="F28" s="10" t="s">
        <v>265</v>
      </c>
      <c r="G28" s="9" t="s">
        <v>29</v>
      </c>
      <c r="H28" s="9" t="s">
        <v>48</v>
      </c>
      <c r="I28" s="11" t="s">
        <v>87</v>
      </c>
      <c r="J28" t="s">
        <v>221</v>
      </c>
      <c r="K28" t="s">
        <v>240</v>
      </c>
      <c r="L28" s="9">
        <v>535.45454545454504</v>
      </c>
      <c r="M28" s="9">
        <v>4.6727272727272702</v>
      </c>
      <c r="N28" s="11">
        <v>148.18181818181901</v>
      </c>
    </row>
    <row r="29" spans="1:14" x14ac:dyDescent="0.3">
      <c r="A29" s="4">
        <v>27</v>
      </c>
      <c r="B29" s="5" t="s">
        <v>90</v>
      </c>
      <c r="C29" s="5" t="s">
        <v>92</v>
      </c>
      <c r="D29" s="5" t="s">
        <v>274</v>
      </c>
      <c r="E29" s="6">
        <v>45739</v>
      </c>
      <c r="F29" s="6" t="s">
        <v>265</v>
      </c>
      <c r="G29" s="5" t="s">
        <v>32</v>
      </c>
      <c r="H29" s="5" t="s">
        <v>51</v>
      </c>
      <c r="I29" s="7" t="s">
        <v>93</v>
      </c>
      <c r="J29" t="s">
        <v>222</v>
      </c>
      <c r="K29" t="s">
        <v>240</v>
      </c>
      <c r="L29" s="5">
        <v>554.54545454545405</v>
      </c>
      <c r="M29" s="5">
        <v>4.6845454545454501</v>
      </c>
      <c r="N29" s="7">
        <v>152.263636363637</v>
      </c>
    </row>
    <row r="30" spans="1:14" x14ac:dyDescent="0.3">
      <c r="A30" s="8">
        <v>28</v>
      </c>
      <c r="B30" s="9" t="s">
        <v>90</v>
      </c>
      <c r="C30" s="9" t="s">
        <v>94</v>
      </c>
      <c r="D30" s="9" t="s">
        <v>275</v>
      </c>
      <c r="E30" s="10">
        <v>45753</v>
      </c>
      <c r="F30" s="10" t="s">
        <v>265</v>
      </c>
      <c r="G30" s="9" t="s">
        <v>35</v>
      </c>
      <c r="H30" s="9" t="s">
        <v>56</v>
      </c>
      <c r="I30" s="11" t="s">
        <v>93</v>
      </c>
      <c r="J30" t="s">
        <v>223</v>
      </c>
      <c r="K30" t="s">
        <v>240</v>
      </c>
      <c r="L30" s="9">
        <v>573.63636363636294</v>
      </c>
      <c r="M30" s="9">
        <v>4.6963636363636398</v>
      </c>
      <c r="N30" s="11">
        <v>156.345454545455</v>
      </c>
    </row>
    <row r="31" spans="1:14" x14ac:dyDescent="0.3">
      <c r="A31" s="4">
        <v>29</v>
      </c>
      <c r="B31" s="5" t="s">
        <v>90</v>
      </c>
      <c r="C31" s="5" t="s">
        <v>95</v>
      </c>
      <c r="D31" s="5" t="s">
        <v>275</v>
      </c>
      <c r="E31" s="6">
        <v>45797</v>
      </c>
      <c r="F31" s="6" t="s">
        <v>265</v>
      </c>
      <c r="G31" s="5" t="s">
        <v>39</v>
      </c>
      <c r="H31" s="5" t="s">
        <v>60</v>
      </c>
      <c r="I31" s="7" t="s">
        <v>93</v>
      </c>
      <c r="J31" t="s">
        <v>224</v>
      </c>
      <c r="K31" t="s">
        <v>240</v>
      </c>
      <c r="L31" s="5">
        <v>592.72727272727298</v>
      </c>
      <c r="M31" s="5">
        <v>4.7081818181818198</v>
      </c>
      <c r="N31" s="7">
        <v>160.42727272727299</v>
      </c>
    </row>
    <row r="32" spans="1:14" x14ac:dyDescent="0.3">
      <c r="A32" s="8">
        <v>30</v>
      </c>
      <c r="B32" s="9" t="s">
        <v>90</v>
      </c>
      <c r="C32" s="9" t="s">
        <v>97</v>
      </c>
      <c r="D32" s="9" t="s">
        <v>275</v>
      </c>
      <c r="E32" s="10">
        <v>45820</v>
      </c>
      <c r="F32" s="10" t="s">
        <v>266</v>
      </c>
      <c r="G32" s="9" t="s">
        <v>44</v>
      </c>
      <c r="H32" s="9" t="s">
        <v>64</v>
      </c>
      <c r="I32" s="11" t="s">
        <v>93</v>
      </c>
      <c r="J32" t="s">
        <v>225</v>
      </c>
      <c r="K32" t="s">
        <v>240</v>
      </c>
      <c r="L32" s="9">
        <v>611.81818181818198</v>
      </c>
      <c r="M32" s="9">
        <v>4.72</v>
      </c>
      <c r="N32" s="11">
        <v>164.50909090909099</v>
      </c>
    </row>
    <row r="33" spans="1:14" x14ac:dyDescent="0.3">
      <c r="A33" s="4">
        <v>31</v>
      </c>
      <c r="B33" s="5" t="s">
        <v>90</v>
      </c>
      <c r="C33" s="5" t="s">
        <v>98</v>
      </c>
      <c r="D33" s="5" t="s">
        <v>276</v>
      </c>
      <c r="E33" s="6">
        <v>45865</v>
      </c>
      <c r="F33" s="6" t="s">
        <v>267</v>
      </c>
      <c r="G33" s="5" t="s">
        <v>47</v>
      </c>
      <c r="H33" s="5" t="s">
        <v>12</v>
      </c>
      <c r="I33" s="7" t="s">
        <v>13</v>
      </c>
      <c r="J33" t="s">
        <v>226</v>
      </c>
      <c r="K33" t="s">
        <v>240</v>
      </c>
      <c r="L33" s="5">
        <v>630.90909090909099</v>
      </c>
      <c r="M33" s="5">
        <v>4.7318181818181797</v>
      </c>
      <c r="N33" s="7">
        <v>168.59090909090901</v>
      </c>
    </row>
    <row r="34" spans="1:14" x14ac:dyDescent="0.3">
      <c r="A34" s="8">
        <v>32</v>
      </c>
      <c r="B34" s="9" t="s">
        <v>90</v>
      </c>
      <c r="C34" s="9" t="s">
        <v>99</v>
      </c>
      <c r="D34" s="9" t="s">
        <v>276</v>
      </c>
      <c r="E34" s="10">
        <v>45878</v>
      </c>
      <c r="F34" s="10" t="s">
        <v>268</v>
      </c>
      <c r="G34" s="9" t="s">
        <v>50</v>
      </c>
      <c r="H34" s="9" t="s">
        <v>17</v>
      </c>
      <c r="I34" s="11" t="s">
        <v>18</v>
      </c>
      <c r="J34" t="s">
        <v>227</v>
      </c>
      <c r="K34" t="s">
        <v>240</v>
      </c>
      <c r="L34" s="9">
        <v>650</v>
      </c>
      <c r="M34" s="9">
        <v>4.7436363636363597</v>
      </c>
      <c r="N34" s="11">
        <v>172.672727272728</v>
      </c>
    </row>
    <row r="35" spans="1:14" x14ac:dyDescent="0.3">
      <c r="A35" s="4">
        <v>33</v>
      </c>
      <c r="B35" s="5" t="s">
        <v>100</v>
      </c>
      <c r="C35" s="5" t="s">
        <v>101</v>
      </c>
      <c r="D35" s="5" t="s">
        <v>276</v>
      </c>
      <c r="E35" s="6">
        <v>45922</v>
      </c>
      <c r="F35" s="6" t="s">
        <v>267</v>
      </c>
      <c r="G35" s="5" t="s">
        <v>55</v>
      </c>
      <c r="H35" s="5" t="s">
        <v>21</v>
      </c>
      <c r="I35" s="7" t="s">
        <v>18</v>
      </c>
      <c r="J35" t="s">
        <v>228</v>
      </c>
      <c r="K35" t="s">
        <v>240</v>
      </c>
      <c r="L35" s="5">
        <v>669.09090909090901</v>
      </c>
      <c r="M35" s="5">
        <v>4.7554545454545396</v>
      </c>
      <c r="N35" s="7">
        <v>176.75454545454599</v>
      </c>
    </row>
    <row r="36" spans="1:14" x14ac:dyDescent="0.3">
      <c r="A36" s="8">
        <v>34</v>
      </c>
      <c r="B36" s="9" t="s">
        <v>102</v>
      </c>
      <c r="C36" s="9" t="s">
        <v>103</v>
      </c>
      <c r="D36" s="9" t="s">
        <v>277</v>
      </c>
      <c r="E36" s="10">
        <v>45935</v>
      </c>
      <c r="F36" s="10" t="s">
        <v>269</v>
      </c>
      <c r="G36" s="9" t="s">
        <v>59</v>
      </c>
      <c r="H36" s="9" t="s">
        <v>24</v>
      </c>
      <c r="I36" s="11" t="s">
        <v>18</v>
      </c>
      <c r="J36" t="s">
        <v>229</v>
      </c>
      <c r="K36" t="s">
        <v>240</v>
      </c>
      <c r="L36" s="9">
        <v>688.18181818181802</v>
      </c>
      <c r="M36" s="9">
        <v>4.7672727272727302</v>
      </c>
      <c r="N36" s="11">
        <v>180.83636363636401</v>
      </c>
    </row>
    <row r="37" spans="1:14" x14ac:dyDescent="0.3">
      <c r="A37" s="4">
        <v>35</v>
      </c>
      <c r="B37" s="5" t="s">
        <v>104</v>
      </c>
      <c r="C37" s="5" t="s">
        <v>105</v>
      </c>
      <c r="D37" s="5" t="s">
        <v>277</v>
      </c>
      <c r="E37" s="6">
        <v>45978</v>
      </c>
      <c r="F37" s="6" t="s">
        <v>266</v>
      </c>
      <c r="G37" s="5" t="s">
        <v>63</v>
      </c>
      <c r="H37" s="5" t="s">
        <v>27</v>
      </c>
      <c r="I37" s="7" t="s">
        <v>18</v>
      </c>
      <c r="J37" t="s">
        <v>230</v>
      </c>
      <c r="K37" t="s">
        <v>240</v>
      </c>
      <c r="L37" s="5">
        <v>707.27272727272702</v>
      </c>
      <c r="M37" s="5">
        <v>4.7790909090909102</v>
      </c>
      <c r="N37" s="7">
        <v>184.91818181818201</v>
      </c>
    </row>
    <row r="38" spans="1:14" x14ac:dyDescent="0.3">
      <c r="A38" s="8">
        <v>36</v>
      </c>
      <c r="B38" s="9" t="s">
        <v>107</v>
      </c>
      <c r="C38" s="9" t="s">
        <v>108</v>
      </c>
      <c r="D38" s="9" t="s">
        <v>277</v>
      </c>
      <c r="E38" s="10">
        <v>46019</v>
      </c>
      <c r="F38" s="10" t="s">
        <v>267</v>
      </c>
      <c r="G38" s="9" t="s">
        <v>67</v>
      </c>
      <c r="H38" s="9" t="s">
        <v>30</v>
      </c>
      <c r="I38" s="11" t="s">
        <v>18</v>
      </c>
      <c r="J38" t="s">
        <v>231</v>
      </c>
      <c r="K38" t="s">
        <v>240</v>
      </c>
      <c r="L38" s="9">
        <v>726.36363636363603</v>
      </c>
      <c r="M38" s="9">
        <v>4.7909090909090901</v>
      </c>
      <c r="N38" s="11">
        <v>189</v>
      </c>
    </row>
    <row r="39" spans="1:14" x14ac:dyDescent="0.3">
      <c r="A39" s="4">
        <v>37</v>
      </c>
      <c r="B39" s="5" t="s">
        <v>37</v>
      </c>
      <c r="C39" s="5" t="s">
        <v>110</v>
      </c>
      <c r="D39" s="5" t="s">
        <v>274</v>
      </c>
      <c r="E39" s="6">
        <v>45665</v>
      </c>
      <c r="F39" s="6" t="s">
        <v>270</v>
      </c>
      <c r="G39" s="5" t="s">
        <v>72</v>
      </c>
      <c r="H39" s="5" t="s">
        <v>33</v>
      </c>
      <c r="I39" s="7" t="s">
        <v>41</v>
      </c>
      <c r="J39" t="s">
        <v>232</v>
      </c>
      <c r="K39" t="s">
        <v>240</v>
      </c>
      <c r="L39" s="5">
        <v>745.45454545454504</v>
      </c>
      <c r="M39" s="5">
        <v>4.8027272727272701</v>
      </c>
      <c r="N39" s="7">
        <v>193.08181818181899</v>
      </c>
    </row>
    <row r="40" spans="1:14" x14ac:dyDescent="0.3">
      <c r="A40" s="8">
        <v>38</v>
      </c>
      <c r="B40" s="9" t="s">
        <v>111</v>
      </c>
      <c r="C40" s="9" t="s">
        <v>112</v>
      </c>
      <c r="D40" s="9" t="s">
        <v>274</v>
      </c>
      <c r="E40" s="10">
        <v>45707</v>
      </c>
      <c r="F40" s="10" t="s">
        <v>265</v>
      </c>
      <c r="G40" s="9" t="s">
        <v>74</v>
      </c>
      <c r="H40" s="9" t="s">
        <v>36</v>
      </c>
      <c r="I40" s="11" t="s">
        <v>41</v>
      </c>
      <c r="J40" t="s">
        <v>233</v>
      </c>
      <c r="K40" t="s">
        <v>240</v>
      </c>
      <c r="L40" s="9">
        <v>764.54545454545405</v>
      </c>
      <c r="M40" s="9">
        <v>4.81454545454545</v>
      </c>
      <c r="N40" s="11">
        <v>197.16363636363701</v>
      </c>
    </row>
    <row r="41" spans="1:14" x14ac:dyDescent="0.3">
      <c r="A41" s="4">
        <v>39</v>
      </c>
      <c r="B41" s="5" t="s">
        <v>111</v>
      </c>
      <c r="C41" s="5" t="s">
        <v>113</v>
      </c>
      <c r="D41" s="5" t="s">
        <v>274</v>
      </c>
      <c r="E41" s="6">
        <v>45747</v>
      </c>
      <c r="F41" s="6" t="s">
        <v>268</v>
      </c>
      <c r="G41" s="5" t="s">
        <v>77</v>
      </c>
      <c r="H41" s="5" t="s">
        <v>40</v>
      </c>
      <c r="I41" s="7" t="s">
        <v>41</v>
      </c>
      <c r="J41" t="s">
        <v>234</v>
      </c>
      <c r="K41" t="s">
        <v>240</v>
      </c>
      <c r="L41" s="5">
        <v>783.63636363636294</v>
      </c>
      <c r="M41" s="5">
        <v>4.8263636363636397</v>
      </c>
      <c r="N41" s="7">
        <v>201.245454545455</v>
      </c>
    </row>
    <row r="42" spans="1:14" x14ac:dyDescent="0.3">
      <c r="A42" s="8">
        <v>40</v>
      </c>
      <c r="B42" s="9" t="s">
        <v>111</v>
      </c>
      <c r="C42" s="9" t="s">
        <v>114</v>
      </c>
      <c r="D42" s="9" t="s">
        <v>275</v>
      </c>
      <c r="E42" s="10">
        <v>45762</v>
      </c>
      <c r="F42" s="10" t="s">
        <v>270</v>
      </c>
      <c r="G42" s="9" t="s">
        <v>80</v>
      </c>
      <c r="H42" s="9" t="s">
        <v>45</v>
      </c>
      <c r="I42" s="11" t="s">
        <v>41</v>
      </c>
      <c r="J42" t="s">
        <v>235</v>
      </c>
      <c r="K42" t="s">
        <v>240</v>
      </c>
      <c r="L42" s="9">
        <v>802.72727272727298</v>
      </c>
      <c r="M42" s="9">
        <v>4.8381818181818197</v>
      </c>
      <c r="N42" s="11">
        <v>205.327272727273</v>
      </c>
    </row>
    <row r="43" spans="1:14" x14ac:dyDescent="0.3">
      <c r="A43" s="4">
        <v>41</v>
      </c>
      <c r="B43" s="5" t="s">
        <v>111</v>
      </c>
      <c r="C43" s="5" t="s">
        <v>115</v>
      </c>
      <c r="D43" s="5" t="s">
        <v>275</v>
      </c>
      <c r="E43" s="6">
        <v>45803</v>
      </c>
      <c r="F43" s="6" t="s">
        <v>269</v>
      </c>
      <c r="G43" s="5" t="s">
        <v>11</v>
      </c>
      <c r="H43" s="5" t="s">
        <v>48</v>
      </c>
      <c r="I43" s="7" t="s">
        <v>68</v>
      </c>
      <c r="J43" t="s">
        <v>236</v>
      </c>
      <c r="K43" t="s">
        <v>240</v>
      </c>
      <c r="L43" s="5">
        <v>821.81818181818198</v>
      </c>
      <c r="M43" s="5">
        <v>4.8499999999999996</v>
      </c>
      <c r="N43" s="7">
        <v>209.40909090909099</v>
      </c>
    </row>
    <row r="44" spans="1:14" x14ac:dyDescent="0.3">
      <c r="A44" s="8">
        <v>42</v>
      </c>
      <c r="B44" s="9" t="s">
        <v>111</v>
      </c>
      <c r="C44" s="9" t="s">
        <v>116</v>
      </c>
      <c r="D44" s="9" t="s">
        <v>275</v>
      </c>
      <c r="E44" s="10">
        <v>45815</v>
      </c>
      <c r="F44" s="10" t="s">
        <v>270</v>
      </c>
      <c r="G44" s="9" t="s">
        <v>16</v>
      </c>
      <c r="H44" s="9" t="s">
        <v>51</v>
      </c>
      <c r="I44" s="11" t="s">
        <v>68</v>
      </c>
      <c r="J44" t="s">
        <v>237</v>
      </c>
      <c r="K44" t="s">
        <v>240</v>
      </c>
      <c r="L44" s="9">
        <v>840.90909090909099</v>
      </c>
      <c r="M44" s="9">
        <v>4.8618181818181796</v>
      </c>
      <c r="N44" s="11">
        <v>213.49090909090901</v>
      </c>
    </row>
    <row r="45" spans="1:14" x14ac:dyDescent="0.3">
      <c r="A45" s="4">
        <v>43</v>
      </c>
      <c r="B45" s="5" t="s">
        <v>111</v>
      </c>
      <c r="C45" s="5" t="s">
        <v>117</v>
      </c>
      <c r="D45" s="5" t="s">
        <v>276</v>
      </c>
      <c r="E45" s="6">
        <v>45856</v>
      </c>
      <c r="F45" s="6" t="s">
        <v>271</v>
      </c>
      <c r="G45" s="5" t="s">
        <v>20</v>
      </c>
      <c r="H45" s="5" t="s">
        <v>56</v>
      </c>
      <c r="I45" s="7" t="s">
        <v>68</v>
      </c>
      <c r="J45" t="s">
        <v>238</v>
      </c>
      <c r="K45" t="s">
        <v>240</v>
      </c>
      <c r="L45" s="5">
        <v>860</v>
      </c>
      <c r="M45" s="5">
        <v>4</v>
      </c>
      <c r="N45" s="7">
        <v>217.572727272728</v>
      </c>
    </row>
    <row r="46" spans="1:14" x14ac:dyDescent="0.3">
      <c r="A46" s="8">
        <v>44</v>
      </c>
      <c r="B46" s="9" t="s">
        <v>111</v>
      </c>
      <c r="C46" s="9" t="s">
        <v>118</v>
      </c>
      <c r="D46" s="9" t="s">
        <v>276</v>
      </c>
      <c r="E46" s="10">
        <v>45899</v>
      </c>
      <c r="F46" s="10" t="s">
        <v>269</v>
      </c>
      <c r="G46" s="9" t="s">
        <v>23</v>
      </c>
      <c r="H46" s="9" t="s">
        <v>60</v>
      </c>
      <c r="I46" s="11" t="s">
        <v>82</v>
      </c>
      <c r="J46" t="s">
        <v>239</v>
      </c>
      <c r="K46" t="s">
        <v>240</v>
      </c>
      <c r="L46" s="9">
        <v>879.09090909090901</v>
      </c>
      <c r="M46" s="9">
        <v>4.8854545454545404</v>
      </c>
      <c r="N46" s="11">
        <v>221.654545454546</v>
      </c>
    </row>
    <row r="47" spans="1:14" x14ac:dyDescent="0.3">
      <c r="A47" s="4">
        <v>45</v>
      </c>
      <c r="B47" s="5" t="s">
        <v>70</v>
      </c>
      <c r="C47" s="5" t="s">
        <v>119</v>
      </c>
      <c r="D47" s="5" t="s">
        <v>276</v>
      </c>
      <c r="E47" s="6">
        <v>45911</v>
      </c>
      <c r="F47" s="6" t="s">
        <v>268</v>
      </c>
      <c r="G47" s="5" t="s">
        <v>26</v>
      </c>
      <c r="H47" s="5" t="s">
        <v>64</v>
      </c>
      <c r="I47" s="7" t="s">
        <v>82</v>
      </c>
      <c r="J47" t="s">
        <v>218</v>
      </c>
      <c r="K47" t="s">
        <v>240</v>
      </c>
      <c r="L47" s="5">
        <v>898.18181818181802</v>
      </c>
      <c r="M47" s="5">
        <v>4.8972727272727301</v>
      </c>
      <c r="N47" s="7">
        <v>225.73636363636399</v>
      </c>
    </row>
    <row r="48" spans="1:14" x14ac:dyDescent="0.3">
      <c r="A48" s="8">
        <v>46</v>
      </c>
      <c r="B48" s="9" t="s">
        <v>120</v>
      </c>
      <c r="C48" s="9" t="s">
        <v>121</v>
      </c>
      <c r="D48" s="9" t="s">
        <v>277</v>
      </c>
      <c r="E48" s="10">
        <v>45954</v>
      </c>
      <c r="F48" s="10" t="s">
        <v>266</v>
      </c>
      <c r="G48" s="9" t="s">
        <v>29</v>
      </c>
      <c r="H48" s="9" t="s">
        <v>12</v>
      </c>
      <c r="I48" s="11" t="s">
        <v>87</v>
      </c>
      <c r="J48" t="s">
        <v>219</v>
      </c>
      <c r="K48" t="s">
        <v>240</v>
      </c>
      <c r="L48" s="9">
        <v>917.27272727272702</v>
      </c>
      <c r="M48" s="9">
        <v>3</v>
      </c>
      <c r="N48" s="11">
        <v>229.81818181818201</v>
      </c>
    </row>
    <row r="49" spans="1:16" x14ac:dyDescent="0.3">
      <c r="A49" s="4">
        <v>47</v>
      </c>
      <c r="B49" s="5" t="s">
        <v>122</v>
      </c>
      <c r="C49" s="5" t="s">
        <v>62</v>
      </c>
      <c r="D49" s="5" t="s">
        <v>277</v>
      </c>
      <c r="E49" s="6">
        <v>45967</v>
      </c>
      <c r="F49" s="6" t="s">
        <v>266</v>
      </c>
      <c r="G49" s="5" t="s">
        <v>32</v>
      </c>
      <c r="H49" s="5" t="s">
        <v>17</v>
      </c>
      <c r="I49" s="7" t="s">
        <v>87</v>
      </c>
      <c r="J49" t="s">
        <v>220</v>
      </c>
      <c r="K49" t="s">
        <v>240</v>
      </c>
      <c r="L49" s="5">
        <v>936.36363636363603</v>
      </c>
      <c r="M49" s="9">
        <v>3</v>
      </c>
      <c r="N49" s="7">
        <v>233.9</v>
      </c>
    </row>
    <row r="50" spans="1:16" x14ac:dyDescent="0.3">
      <c r="A50" s="8">
        <v>48</v>
      </c>
      <c r="B50" s="9" t="s">
        <v>123</v>
      </c>
      <c r="C50" s="9" t="s">
        <v>124</v>
      </c>
      <c r="D50" s="9" t="s">
        <v>277</v>
      </c>
      <c r="E50" s="10">
        <v>46010</v>
      </c>
      <c r="F50" s="10" t="s">
        <v>267</v>
      </c>
      <c r="G50" s="9" t="s">
        <v>35</v>
      </c>
      <c r="H50" s="9" t="s">
        <v>21</v>
      </c>
      <c r="I50" s="11" t="s">
        <v>93</v>
      </c>
      <c r="J50" t="s">
        <v>221</v>
      </c>
      <c r="K50" t="s">
        <v>240</v>
      </c>
      <c r="L50" s="9">
        <v>955.45454545454504</v>
      </c>
      <c r="M50" s="9">
        <v>3</v>
      </c>
      <c r="N50" s="11">
        <v>237.98181818181899</v>
      </c>
    </row>
    <row r="51" spans="1:16" x14ac:dyDescent="0.3">
      <c r="A51" s="4">
        <v>49</v>
      </c>
      <c r="B51" s="5" t="s">
        <v>123</v>
      </c>
      <c r="C51" s="5" t="s">
        <v>125</v>
      </c>
      <c r="D51" s="5" t="s">
        <v>274</v>
      </c>
      <c r="E51" s="6">
        <v>45690</v>
      </c>
      <c r="F51" s="6" t="s">
        <v>267</v>
      </c>
      <c r="G51" s="5" t="s">
        <v>39</v>
      </c>
      <c r="H51" s="5" t="s">
        <v>24</v>
      </c>
      <c r="I51" s="7" t="s">
        <v>93</v>
      </c>
      <c r="J51" t="s">
        <v>222</v>
      </c>
      <c r="K51" t="s">
        <v>240</v>
      </c>
      <c r="L51" s="5">
        <v>974.54545454545405</v>
      </c>
      <c r="M51" s="9">
        <v>3</v>
      </c>
      <c r="N51" s="7">
        <v>242.06363636363699</v>
      </c>
    </row>
    <row r="52" spans="1:16" x14ac:dyDescent="0.3">
      <c r="A52" s="8">
        <v>50</v>
      </c>
      <c r="B52" s="9" t="s">
        <v>123</v>
      </c>
      <c r="C52" s="9" t="s">
        <v>126</v>
      </c>
      <c r="D52" s="9" t="s">
        <v>274</v>
      </c>
      <c r="E52" s="10">
        <v>45730</v>
      </c>
      <c r="F52" s="10" t="s">
        <v>268</v>
      </c>
      <c r="G52" s="9" t="s">
        <v>44</v>
      </c>
      <c r="H52" s="9" t="s">
        <v>27</v>
      </c>
      <c r="I52" s="11" t="s">
        <v>13</v>
      </c>
      <c r="J52" t="s">
        <v>223</v>
      </c>
      <c r="K52" t="s">
        <v>240</v>
      </c>
      <c r="L52" s="9">
        <v>993.63636363636294</v>
      </c>
      <c r="M52" s="9">
        <v>3</v>
      </c>
      <c r="N52" s="11">
        <v>246.14545454545501</v>
      </c>
    </row>
    <row r="53" spans="1:16" x14ac:dyDescent="0.3">
      <c r="A53" s="4">
        <v>51</v>
      </c>
      <c r="B53" s="5" t="s">
        <v>123</v>
      </c>
      <c r="C53" s="5" t="s">
        <v>127</v>
      </c>
      <c r="D53" s="5" t="s">
        <v>274</v>
      </c>
      <c r="E53" s="6">
        <v>45662</v>
      </c>
      <c r="F53" s="6" t="s">
        <v>266</v>
      </c>
      <c r="G53" s="5" t="s">
        <v>47</v>
      </c>
      <c r="H53" s="5" t="s">
        <v>30</v>
      </c>
      <c r="I53" s="7" t="s">
        <v>18</v>
      </c>
      <c r="J53" t="s">
        <v>224</v>
      </c>
      <c r="K53" t="s">
        <v>240</v>
      </c>
      <c r="L53" s="5">
        <v>1012.72727272727</v>
      </c>
      <c r="M53" s="9">
        <v>3</v>
      </c>
      <c r="N53" s="7">
        <v>250.227272727273</v>
      </c>
    </row>
    <row r="54" spans="1:16" x14ac:dyDescent="0.3">
      <c r="A54" s="8">
        <v>52</v>
      </c>
      <c r="B54" s="9" t="s">
        <v>123</v>
      </c>
      <c r="C54" s="9" t="s">
        <v>128</v>
      </c>
      <c r="D54" s="9" t="s">
        <v>275</v>
      </c>
      <c r="E54" s="10">
        <v>45706</v>
      </c>
      <c r="F54" s="10" t="s">
        <v>266</v>
      </c>
      <c r="G54" s="9" t="s">
        <v>50</v>
      </c>
      <c r="H54" s="9" t="s">
        <v>33</v>
      </c>
      <c r="I54" s="11" t="s">
        <v>18</v>
      </c>
      <c r="J54" t="s">
        <v>225</v>
      </c>
      <c r="K54" t="s">
        <v>240</v>
      </c>
      <c r="L54" s="9">
        <v>1031.8181818181799</v>
      </c>
      <c r="M54" s="9">
        <v>3</v>
      </c>
      <c r="N54" s="11">
        <v>254.309090909091</v>
      </c>
      <c r="P54" t="s">
        <v>194</v>
      </c>
    </row>
    <row r="55" spans="1:16" x14ac:dyDescent="0.3">
      <c r="A55" s="4">
        <v>53</v>
      </c>
      <c r="B55" s="5" t="s">
        <v>123</v>
      </c>
      <c r="C55" s="5" t="s">
        <v>129</v>
      </c>
      <c r="D55" s="5" t="s">
        <v>275</v>
      </c>
      <c r="E55" s="6">
        <v>45743</v>
      </c>
      <c r="F55" s="6" t="s">
        <v>271</v>
      </c>
      <c r="G55" s="5" t="s">
        <v>55</v>
      </c>
      <c r="H55" s="5" t="s">
        <v>36</v>
      </c>
      <c r="I55" s="7" t="s">
        <v>18</v>
      </c>
      <c r="J55" t="s">
        <v>226</v>
      </c>
      <c r="K55" t="s">
        <v>240</v>
      </c>
      <c r="L55" s="5">
        <v>1050.9090909090901</v>
      </c>
      <c r="M55" s="9">
        <v>3</v>
      </c>
      <c r="N55" s="7">
        <v>258.39090909090902</v>
      </c>
    </row>
    <row r="56" spans="1:16" x14ac:dyDescent="0.3">
      <c r="A56" s="8">
        <v>54</v>
      </c>
      <c r="B56" s="9" t="s">
        <v>90</v>
      </c>
      <c r="C56" s="9" t="s">
        <v>91</v>
      </c>
      <c r="D56" s="9" t="s">
        <v>275</v>
      </c>
      <c r="E56" s="10">
        <v>45758</v>
      </c>
      <c r="F56" s="10" t="s">
        <v>265</v>
      </c>
      <c r="G56" s="9" t="s">
        <v>59</v>
      </c>
      <c r="H56" s="9" t="s">
        <v>40</v>
      </c>
      <c r="I56" s="11" t="s">
        <v>41</v>
      </c>
      <c r="J56" t="s">
        <v>227</v>
      </c>
      <c r="K56" t="s">
        <v>240</v>
      </c>
      <c r="L56" s="9">
        <v>1070</v>
      </c>
      <c r="M56" s="9">
        <v>3</v>
      </c>
      <c r="N56" s="11">
        <v>262.47272727272798</v>
      </c>
    </row>
    <row r="57" spans="1:16" x14ac:dyDescent="0.3">
      <c r="A57" s="4">
        <v>55</v>
      </c>
      <c r="B57" s="5" t="s">
        <v>130</v>
      </c>
      <c r="C57" s="5" t="s">
        <v>131</v>
      </c>
      <c r="D57" s="5" t="s">
        <v>276</v>
      </c>
      <c r="E57" s="6">
        <v>45799</v>
      </c>
      <c r="F57" s="6" t="s">
        <v>265</v>
      </c>
      <c r="G57" s="5" t="s">
        <v>63</v>
      </c>
      <c r="H57" s="5" t="s">
        <v>45</v>
      </c>
      <c r="I57" s="7" t="s">
        <v>41</v>
      </c>
      <c r="J57" t="s">
        <v>228</v>
      </c>
      <c r="K57" t="s">
        <v>240</v>
      </c>
      <c r="L57" s="5">
        <v>1089.0909090909099</v>
      </c>
      <c r="M57" s="9">
        <v>3</v>
      </c>
      <c r="N57" s="7">
        <v>266.55454545454597</v>
      </c>
    </row>
    <row r="58" spans="1:16" x14ac:dyDescent="0.3">
      <c r="A58" s="8">
        <v>56</v>
      </c>
      <c r="B58" s="9" t="s">
        <v>132</v>
      </c>
      <c r="C58" s="9" t="s">
        <v>133</v>
      </c>
      <c r="D58" s="9" t="s">
        <v>276</v>
      </c>
      <c r="E58" s="10">
        <v>45817</v>
      </c>
      <c r="F58" s="10" t="s">
        <v>265</v>
      </c>
      <c r="G58" s="9" t="s">
        <v>67</v>
      </c>
      <c r="H58" s="9" t="s">
        <v>48</v>
      </c>
      <c r="I58" s="11" t="s">
        <v>41</v>
      </c>
      <c r="J58" t="s">
        <v>229</v>
      </c>
      <c r="K58" t="s">
        <v>240</v>
      </c>
      <c r="L58" s="9">
        <v>1108.1818181818201</v>
      </c>
      <c r="M58" s="9">
        <v>3</v>
      </c>
      <c r="N58" s="11">
        <v>270.63636363636402</v>
      </c>
    </row>
    <row r="59" spans="1:16" x14ac:dyDescent="0.3">
      <c r="A59" s="4">
        <v>57</v>
      </c>
      <c r="B59" s="5" t="s">
        <v>134</v>
      </c>
      <c r="C59" s="5" t="s">
        <v>135</v>
      </c>
      <c r="D59" s="5" t="s">
        <v>276</v>
      </c>
      <c r="E59" s="6">
        <v>45853</v>
      </c>
      <c r="F59" s="6" t="s">
        <v>265</v>
      </c>
      <c r="G59" s="5" t="s">
        <v>72</v>
      </c>
      <c r="H59" s="5" t="s">
        <v>51</v>
      </c>
      <c r="I59" s="7" t="s">
        <v>68</v>
      </c>
      <c r="J59" t="s">
        <v>230</v>
      </c>
      <c r="K59" t="s">
        <v>240</v>
      </c>
      <c r="L59" s="5">
        <v>1127.27272727273</v>
      </c>
      <c r="M59" s="9">
        <v>3</v>
      </c>
      <c r="N59" s="7">
        <v>274.71818181818202</v>
      </c>
    </row>
    <row r="60" spans="1:16" x14ac:dyDescent="0.3">
      <c r="A60" s="8">
        <v>58</v>
      </c>
      <c r="B60" s="9" t="s">
        <v>136</v>
      </c>
      <c r="C60" s="9" t="s">
        <v>137</v>
      </c>
      <c r="D60" s="9" t="s">
        <v>277</v>
      </c>
      <c r="E60" s="10">
        <v>45897</v>
      </c>
      <c r="F60" s="10" t="s">
        <v>266</v>
      </c>
      <c r="G60" s="9" t="s">
        <v>74</v>
      </c>
      <c r="H60" s="9" t="s">
        <v>56</v>
      </c>
      <c r="I60" s="11" t="s">
        <v>68</v>
      </c>
      <c r="J60" t="s">
        <v>231</v>
      </c>
      <c r="K60" t="s">
        <v>240</v>
      </c>
      <c r="L60" s="9">
        <v>1146.3636363636399</v>
      </c>
      <c r="M60" s="9">
        <v>3</v>
      </c>
      <c r="N60" s="11">
        <v>278.8</v>
      </c>
    </row>
    <row r="61" spans="1:16" x14ac:dyDescent="0.3">
      <c r="A61" s="4">
        <v>59</v>
      </c>
      <c r="B61" s="5" t="s">
        <v>138</v>
      </c>
      <c r="C61" s="5" t="s">
        <v>139</v>
      </c>
      <c r="D61" s="5" t="s">
        <v>277</v>
      </c>
      <c r="E61" s="6">
        <v>45903</v>
      </c>
      <c r="F61" s="6" t="s">
        <v>267</v>
      </c>
      <c r="G61" s="5" t="s">
        <v>77</v>
      </c>
      <c r="H61" s="5" t="s">
        <v>60</v>
      </c>
      <c r="I61" s="7" t="s">
        <v>68</v>
      </c>
      <c r="J61" t="s">
        <v>232</v>
      </c>
      <c r="K61" t="s">
        <v>240</v>
      </c>
      <c r="L61" s="5">
        <v>1165.45454545455</v>
      </c>
      <c r="M61" s="9">
        <v>3</v>
      </c>
      <c r="N61" s="7">
        <v>282.88181818181903</v>
      </c>
    </row>
    <row r="62" spans="1:16" x14ac:dyDescent="0.3">
      <c r="A62" s="8">
        <v>60</v>
      </c>
      <c r="B62" s="9" t="s">
        <v>85</v>
      </c>
      <c r="C62" s="9" t="s">
        <v>140</v>
      </c>
      <c r="D62" s="9" t="s">
        <v>277</v>
      </c>
      <c r="E62" s="10">
        <v>45949</v>
      </c>
      <c r="F62" s="10" t="s">
        <v>268</v>
      </c>
      <c r="G62" s="9" t="s">
        <v>80</v>
      </c>
      <c r="H62" s="9" t="s">
        <v>64</v>
      </c>
      <c r="I62" s="11" t="s">
        <v>82</v>
      </c>
      <c r="J62" t="s">
        <v>233</v>
      </c>
      <c r="K62" t="s">
        <v>240</v>
      </c>
      <c r="L62" s="9">
        <v>1184.54545454546</v>
      </c>
      <c r="M62" s="9">
        <v>3</v>
      </c>
      <c r="N62" s="11">
        <v>286.96363636363702</v>
      </c>
    </row>
    <row r="63" spans="1:16" x14ac:dyDescent="0.3">
      <c r="A63" s="4">
        <v>61</v>
      </c>
      <c r="B63" s="5" t="s">
        <v>85</v>
      </c>
      <c r="C63" s="5" t="s">
        <v>141</v>
      </c>
      <c r="D63" s="5" t="s">
        <v>274</v>
      </c>
      <c r="E63" s="6">
        <v>45968</v>
      </c>
      <c r="F63" s="6" t="s">
        <v>267</v>
      </c>
      <c r="G63" s="5" t="s">
        <v>11</v>
      </c>
      <c r="H63" s="5" t="s">
        <v>12</v>
      </c>
      <c r="I63" s="7" t="s">
        <v>82</v>
      </c>
      <c r="J63" t="s">
        <v>234</v>
      </c>
      <c r="K63" t="s">
        <v>240</v>
      </c>
      <c r="L63" s="5">
        <v>1203.6363636363701</v>
      </c>
      <c r="M63" s="9">
        <v>3</v>
      </c>
      <c r="N63" s="7">
        <v>291.04545454545502</v>
      </c>
    </row>
    <row r="64" spans="1:16" x14ac:dyDescent="0.3">
      <c r="A64" s="8">
        <v>62</v>
      </c>
      <c r="B64" s="9" t="s">
        <v>85</v>
      </c>
      <c r="C64" s="9" t="s">
        <v>142</v>
      </c>
      <c r="D64" s="9" t="s">
        <v>274</v>
      </c>
      <c r="E64" s="10">
        <v>46015</v>
      </c>
      <c r="F64" s="10" t="s">
        <v>269</v>
      </c>
      <c r="G64" s="9" t="s">
        <v>16</v>
      </c>
      <c r="H64" s="9" t="s">
        <v>17</v>
      </c>
      <c r="I64" s="11" t="s">
        <v>87</v>
      </c>
      <c r="J64" t="s">
        <v>235</v>
      </c>
      <c r="K64" t="s">
        <v>240</v>
      </c>
      <c r="L64" s="9">
        <v>1222.72727272727</v>
      </c>
      <c r="M64" s="9">
        <v>3</v>
      </c>
      <c r="N64" s="11">
        <v>295.12727272727301</v>
      </c>
    </row>
    <row r="65" spans="1:14" x14ac:dyDescent="0.3">
      <c r="A65" s="4">
        <v>63</v>
      </c>
      <c r="B65" s="5" t="s">
        <v>85</v>
      </c>
      <c r="C65" s="5" t="s">
        <v>108</v>
      </c>
      <c r="D65" s="5" t="s">
        <v>274</v>
      </c>
      <c r="E65" s="6">
        <v>45670</v>
      </c>
      <c r="F65" s="6" t="s">
        <v>266</v>
      </c>
      <c r="G65" s="5" t="s">
        <v>20</v>
      </c>
      <c r="H65" s="5" t="s">
        <v>21</v>
      </c>
      <c r="I65" s="7" t="s">
        <v>87</v>
      </c>
      <c r="J65" t="s">
        <v>236</v>
      </c>
      <c r="K65" t="s">
        <v>240</v>
      </c>
      <c r="L65" s="5">
        <v>1241.8181818181799</v>
      </c>
      <c r="M65" s="9">
        <v>3</v>
      </c>
      <c r="N65" s="7">
        <v>299.209090909091</v>
      </c>
    </row>
    <row r="66" spans="1:14" x14ac:dyDescent="0.3">
      <c r="A66" s="8">
        <v>64</v>
      </c>
      <c r="B66" s="9" t="s">
        <v>132</v>
      </c>
      <c r="C66" s="9" t="s">
        <v>143</v>
      </c>
      <c r="D66" s="9" t="s">
        <v>275</v>
      </c>
      <c r="E66" s="10">
        <v>45714</v>
      </c>
      <c r="F66" s="10" t="s">
        <v>267</v>
      </c>
      <c r="G66" s="9" t="s">
        <v>23</v>
      </c>
      <c r="H66" s="9" t="s">
        <v>24</v>
      </c>
      <c r="I66" s="11" t="s">
        <v>93</v>
      </c>
      <c r="J66" t="s">
        <v>237</v>
      </c>
      <c r="K66" t="s">
        <v>240</v>
      </c>
      <c r="L66" s="9">
        <v>1260.9090909090901</v>
      </c>
      <c r="M66" s="9">
        <v>3</v>
      </c>
      <c r="N66" s="11">
        <v>303.290909090909</v>
      </c>
    </row>
    <row r="67" spans="1:14" x14ac:dyDescent="0.3">
      <c r="A67" s="4">
        <v>65</v>
      </c>
      <c r="B67" s="5" t="s">
        <v>9</v>
      </c>
      <c r="C67" s="5" t="s">
        <v>144</v>
      </c>
      <c r="D67" s="5" t="s">
        <v>275</v>
      </c>
      <c r="E67" s="6">
        <v>45724</v>
      </c>
      <c r="F67" s="6" t="s">
        <v>270</v>
      </c>
      <c r="G67" s="5" t="s">
        <v>26</v>
      </c>
      <c r="H67" s="5" t="s">
        <v>27</v>
      </c>
      <c r="I67" s="7" t="s">
        <v>93</v>
      </c>
      <c r="J67" t="s">
        <v>238</v>
      </c>
      <c r="K67" t="s">
        <v>240</v>
      </c>
      <c r="L67" s="5">
        <v>1280</v>
      </c>
      <c r="M67" s="9">
        <v>3</v>
      </c>
      <c r="N67" s="7">
        <v>307.37272727272801</v>
      </c>
    </row>
    <row r="68" spans="1:14" x14ac:dyDescent="0.3">
      <c r="A68" s="8">
        <v>66</v>
      </c>
      <c r="B68" s="9" t="s">
        <v>14</v>
      </c>
      <c r="C68" s="9" t="s">
        <v>145</v>
      </c>
      <c r="D68" s="9" t="s">
        <v>275</v>
      </c>
      <c r="E68" s="10">
        <v>45768</v>
      </c>
      <c r="F68" s="10" t="s">
        <v>265</v>
      </c>
      <c r="G68" s="9" t="s">
        <v>29</v>
      </c>
      <c r="H68" s="9" t="s">
        <v>30</v>
      </c>
      <c r="I68" s="11" t="s">
        <v>13</v>
      </c>
      <c r="J68" t="s">
        <v>239</v>
      </c>
      <c r="K68" t="s">
        <v>240</v>
      </c>
      <c r="L68" s="9">
        <v>1299.0909090909099</v>
      </c>
      <c r="M68" s="9">
        <v>3</v>
      </c>
      <c r="N68" s="11">
        <v>311.45454545454601</v>
      </c>
    </row>
    <row r="69" spans="1:14" x14ac:dyDescent="0.3">
      <c r="A69" s="4">
        <v>67</v>
      </c>
      <c r="B69" s="5" t="s">
        <v>146</v>
      </c>
      <c r="C69" s="5" t="s">
        <v>147</v>
      </c>
      <c r="D69" s="5" t="s">
        <v>276</v>
      </c>
      <c r="E69" s="6">
        <v>45779</v>
      </c>
      <c r="F69" s="6" t="s">
        <v>268</v>
      </c>
      <c r="G69" s="5" t="s">
        <v>32</v>
      </c>
      <c r="H69" s="5" t="s">
        <v>33</v>
      </c>
      <c r="I69" s="7" t="s">
        <v>18</v>
      </c>
      <c r="J69" t="s">
        <v>218</v>
      </c>
      <c r="K69" t="s">
        <v>240</v>
      </c>
      <c r="L69" s="5">
        <v>1318.1818181818201</v>
      </c>
      <c r="M69" s="9">
        <v>3</v>
      </c>
      <c r="N69" s="7">
        <v>315.536363636364</v>
      </c>
    </row>
    <row r="70" spans="1:14" x14ac:dyDescent="0.3">
      <c r="A70" s="8">
        <v>68</v>
      </c>
      <c r="B70" s="9" t="s">
        <v>148</v>
      </c>
      <c r="C70" s="9" t="s">
        <v>149</v>
      </c>
      <c r="D70" s="9" t="s">
        <v>276</v>
      </c>
      <c r="E70" s="10">
        <v>45825</v>
      </c>
      <c r="F70" s="10" t="s">
        <v>270</v>
      </c>
      <c r="G70" s="9" t="s">
        <v>35</v>
      </c>
      <c r="H70" s="9" t="s">
        <v>36</v>
      </c>
      <c r="I70" s="11" t="s">
        <v>18</v>
      </c>
      <c r="J70" t="s">
        <v>219</v>
      </c>
      <c r="K70" t="s">
        <v>240</v>
      </c>
      <c r="L70" s="9">
        <v>1337.27272727273</v>
      </c>
      <c r="M70" s="9">
        <v>3</v>
      </c>
      <c r="N70" s="11">
        <v>319.61818181818199</v>
      </c>
    </row>
    <row r="71" spans="1:14" x14ac:dyDescent="0.3">
      <c r="A71" s="4">
        <v>69</v>
      </c>
      <c r="B71" s="5" t="s">
        <v>100</v>
      </c>
      <c r="C71" s="5" t="s">
        <v>101</v>
      </c>
      <c r="D71" s="5" t="s">
        <v>276</v>
      </c>
      <c r="E71" s="6">
        <v>45867</v>
      </c>
      <c r="F71" s="6" t="s">
        <v>269</v>
      </c>
      <c r="G71" s="5" t="s">
        <v>39</v>
      </c>
      <c r="H71" s="5" t="s">
        <v>40</v>
      </c>
      <c r="I71" s="7" t="s">
        <v>18</v>
      </c>
      <c r="J71" t="s">
        <v>220</v>
      </c>
      <c r="K71" t="s">
        <v>240</v>
      </c>
      <c r="L71" s="5">
        <v>1356.3636363636399</v>
      </c>
      <c r="M71" s="9">
        <v>3</v>
      </c>
      <c r="N71" s="7">
        <v>323.7</v>
      </c>
    </row>
    <row r="72" spans="1:14" x14ac:dyDescent="0.3">
      <c r="A72" s="8">
        <v>70</v>
      </c>
      <c r="B72" s="9" t="s">
        <v>102</v>
      </c>
      <c r="C72" s="9" t="s">
        <v>150</v>
      </c>
      <c r="D72" s="9" t="s">
        <v>277</v>
      </c>
      <c r="E72" s="10">
        <v>45883</v>
      </c>
      <c r="F72" s="10" t="s">
        <v>270</v>
      </c>
      <c r="G72" s="9" t="s">
        <v>44</v>
      </c>
      <c r="H72" s="9" t="s">
        <v>45</v>
      </c>
      <c r="I72" s="11" t="s">
        <v>18</v>
      </c>
      <c r="J72" t="s">
        <v>221</v>
      </c>
      <c r="K72" t="s">
        <v>240</v>
      </c>
      <c r="L72" s="9">
        <v>1375.45454545455</v>
      </c>
      <c r="M72" s="9">
        <v>3</v>
      </c>
      <c r="N72" s="11">
        <v>327.78181818181901</v>
      </c>
    </row>
    <row r="73" spans="1:14" x14ac:dyDescent="0.3">
      <c r="A73" s="4">
        <v>71</v>
      </c>
      <c r="B73" s="5" t="s">
        <v>102</v>
      </c>
      <c r="C73" s="5" t="s">
        <v>151</v>
      </c>
      <c r="D73" s="5" t="s">
        <v>277</v>
      </c>
      <c r="E73" s="6">
        <v>45925</v>
      </c>
      <c r="F73" s="6" t="s">
        <v>271</v>
      </c>
      <c r="G73" s="5" t="s">
        <v>47</v>
      </c>
      <c r="H73" s="5" t="s">
        <v>48</v>
      </c>
      <c r="I73" s="7" t="s">
        <v>41</v>
      </c>
      <c r="J73" t="s">
        <v>222</v>
      </c>
      <c r="K73" t="s">
        <v>240</v>
      </c>
      <c r="L73" s="5">
        <v>1394.54545454546</v>
      </c>
      <c r="M73" s="9">
        <v>3</v>
      </c>
      <c r="N73" s="7">
        <v>331.863636363637</v>
      </c>
    </row>
    <row r="74" spans="1:14" x14ac:dyDescent="0.3">
      <c r="A74" s="8">
        <v>72</v>
      </c>
      <c r="B74" s="9" t="s">
        <v>107</v>
      </c>
      <c r="C74" s="9" t="s">
        <v>152</v>
      </c>
      <c r="D74" s="9" t="s">
        <v>277</v>
      </c>
      <c r="E74" s="10">
        <v>45940</v>
      </c>
      <c r="F74" s="10" t="s">
        <v>269</v>
      </c>
      <c r="G74" s="9" t="s">
        <v>50</v>
      </c>
      <c r="H74" s="9" t="s">
        <v>51</v>
      </c>
      <c r="I74" s="11" t="s">
        <v>41</v>
      </c>
      <c r="J74" t="s">
        <v>223</v>
      </c>
      <c r="K74" t="s">
        <v>240</v>
      </c>
      <c r="L74" s="9">
        <v>1413.6363636363701</v>
      </c>
      <c r="M74" s="9">
        <v>3</v>
      </c>
      <c r="N74" s="11">
        <v>335.94545454545499</v>
      </c>
    </row>
    <row r="75" spans="1:14" x14ac:dyDescent="0.3">
      <c r="A75" s="4">
        <v>73</v>
      </c>
      <c r="B75" s="5" t="s">
        <v>37</v>
      </c>
      <c r="C75" s="5" t="s">
        <v>144</v>
      </c>
      <c r="D75" s="5" t="s">
        <v>274</v>
      </c>
      <c r="E75" s="6">
        <v>45979</v>
      </c>
      <c r="F75" s="6" t="s">
        <v>268</v>
      </c>
      <c r="G75" s="5" t="s">
        <v>55</v>
      </c>
      <c r="H75" s="5" t="s">
        <v>56</v>
      </c>
      <c r="I75" s="7" t="s">
        <v>41</v>
      </c>
      <c r="J75" t="s">
        <v>224</v>
      </c>
      <c r="K75" t="s">
        <v>240</v>
      </c>
      <c r="L75" s="5">
        <v>1432.72727272727</v>
      </c>
      <c r="M75" s="5">
        <v>5.2281818181818203</v>
      </c>
      <c r="N75" s="7">
        <v>340.02727272727299</v>
      </c>
    </row>
    <row r="76" spans="1:14" x14ac:dyDescent="0.3">
      <c r="A76" s="8">
        <v>74</v>
      </c>
      <c r="B76" s="9" t="s">
        <v>37</v>
      </c>
      <c r="C76" s="9" t="s">
        <v>10</v>
      </c>
      <c r="D76" s="9" t="s">
        <v>274</v>
      </c>
      <c r="E76" s="10">
        <v>46021</v>
      </c>
      <c r="F76" s="10" t="s">
        <v>266</v>
      </c>
      <c r="G76" s="9" t="s">
        <v>59</v>
      </c>
      <c r="H76" s="9" t="s">
        <v>60</v>
      </c>
      <c r="I76" s="11" t="s">
        <v>68</v>
      </c>
      <c r="J76" t="s">
        <v>225</v>
      </c>
      <c r="K76" t="s">
        <v>240</v>
      </c>
      <c r="L76" s="9">
        <v>1451.8181818181799</v>
      </c>
      <c r="M76" s="9">
        <v>5.24</v>
      </c>
      <c r="N76" s="11">
        <v>344.10909090909098</v>
      </c>
    </row>
    <row r="77" spans="1:14" x14ac:dyDescent="0.3">
      <c r="A77" s="4">
        <v>75</v>
      </c>
      <c r="B77" s="5" t="s">
        <v>37</v>
      </c>
      <c r="C77" s="5" t="s">
        <v>34</v>
      </c>
      <c r="D77" s="5" t="s">
        <v>274</v>
      </c>
      <c r="E77" s="6">
        <v>45661</v>
      </c>
      <c r="F77" s="6" t="s">
        <v>266</v>
      </c>
      <c r="G77" s="5" t="s">
        <v>63</v>
      </c>
      <c r="H77" s="5" t="s">
        <v>64</v>
      </c>
      <c r="I77" s="7" t="s">
        <v>68</v>
      </c>
      <c r="J77" t="s">
        <v>226</v>
      </c>
      <c r="K77" t="s">
        <v>240</v>
      </c>
      <c r="L77" s="5">
        <v>1470.9090909090901</v>
      </c>
      <c r="M77" s="5">
        <v>5.2518181818181802</v>
      </c>
      <c r="N77" s="7">
        <v>348.19090909090897</v>
      </c>
    </row>
    <row r="78" spans="1:14" x14ac:dyDescent="0.3">
      <c r="A78" s="8">
        <v>76</v>
      </c>
      <c r="B78" s="9" t="s">
        <v>37</v>
      </c>
      <c r="C78" s="9" t="s">
        <v>153</v>
      </c>
      <c r="D78" s="9" t="s">
        <v>275</v>
      </c>
      <c r="E78" s="10">
        <v>45704</v>
      </c>
      <c r="F78" s="10" t="s">
        <v>267</v>
      </c>
      <c r="G78" s="9" t="s">
        <v>67</v>
      </c>
      <c r="H78" s="9" t="s">
        <v>12</v>
      </c>
      <c r="I78" s="11" t="s">
        <v>68</v>
      </c>
      <c r="J78" t="s">
        <v>227</v>
      </c>
      <c r="K78" t="s">
        <v>240</v>
      </c>
      <c r="L78" s="9">
        <v>1490</v>
      </c>
      <c r="M78" s="9">
        <v>5.2636363636363601</v>
      </c>
      <c r="N78" s="11">
        <v>352.27272727272799</v>
      </c>
    </row>
    <row r="79" spans="1:14" x14ac:dyDescent="0.3">
      <c r="A79" s="4">
        <v>77</v>
      </c>
      <c r="B79" s="5" t="s">
        <v>134</v>
      </c>
      <c r="C79" s="5" t="s">
        <v>154</v>
      </c>
      <c r="D79" s="5" t="s">
        <v>275</v>
      </c>
      <c r="E79" s="6">
        <v>45739</v>
      </c>
      <c r="F79" s="6" t="s">
        <v>267</v>
      </c>
      <c r="G79" s="5" t="s">
        <v>72</v>
      </c>
      <c r="H79" s="5" t="s">
        <v>17</v>
      </c>
      <c r="I79" s="7" t="s">
        <v>82</v>
      </c>
      <c r="J79" t="s">
        <v>228</v>
      </c>
      <c r="K79" t="s">
        <v>240</v>
      </c>
      <c r="L79" s="5">
        <v>1509.0909090909099</v>
      </c>
      <c r="M79" s="5">
        <v>5.2754545454545401</v>
      </c>
      <c r="N79" s="7">
        <v>356.35454545454598</v>
      </c>
    </row>
    <row r="80" spans="1:14" x14ac:dyDescent="0.3">
      <c r="A80" s="8">
        <v>78</v>
      </c>
      <c r="B80" s="9" t="s">
        <v>136</v>
      </c>
      <c r="C80" s="9" t="s">
        <v>116</v>
      </c>
      <c r="D80" s="9" t="s">
        <v>275</v>
      </c>
      <c r="E80" s="10">
        <v>45753</v>
      </c>
      <c r="F80" s="10" t="s">
        <v>268</v>
      </c>
      <c r="G80" s="9" t="s">
        <v>74</v>
      </c>
      <c r="H80" s="9" t="s">
        <v>21</v>
      </c>
      <c r="I80" s="11" t="s">
        <v>82</v>
      </c>
      <c r="J80" t="s">
        <v>229</v>
      </c>
      <c r="K80" t="s">
        <v>240</v>
      </c>
      <c r="L80" s="9">
        <v>1528.1818181818201</v>
      </c>
      <c r="M80" s="9">
        <v>5.2872727272727298</v>
      </c>
      <c r="N80" s="11">
        <v>360.43636363636398</v>
      </c>
    </row>
    <row r="81" spans="1:14" x14ac:dyDescent="0.3">
      <c r="A81" s="4">
        <v>79</v>
      </c>
      <c r="B81" s="5" t="s">
        <v>138</v>
      </c>
      <c r="C81" s="5" t="s">
        <v>117</v>
      </c>
      <c r="D81" s="5" t="s">
        <v>276</v>
      </c>
      <c r="E81" s="6">
        <v>45797</v>
      </c>
      <c r="F81" s="6" t="s">
        <v>266</v>
      </c>
      <c r="G81" s="5" t="s">
        <v>77</v>
      </c>
      <c r="H81" s="5" t="s">
        <v>24</v>
      </c>
      <c r="I81" s="7" t="s">
        <v>87</v>
      </c>
      <c r="J81" t="s">
        <v>230</v>
      </c>
      <c r="K81" t="s">
        <v>240</v>
      </c>
      <c r="L81" s="5">
        <v>1547.27272727273</v>
      </c>
      <c r="M81" s="5">
        <v>5.2990909090909097</v>
      </c>
      <c r="N81" s="7">
        <v>364.51818181818197</v>
      </c>
    </row>
    <row r="82" spans="1:14" x14ac:dyDescent="0.3">
      <c r="A82" s="8">
        <v>80</v>
      </c>
      <c r="B82" s="9" t="s">
        <v>85</v>
      </c>
      <c r="C82" s="9" t="s">
        <v>118</v>
      </c>
      <c r="D82" s="9" t="s">
        <v>276</v>
      </c>
      <c r="E82" s="10">
        <v>45820</v>
      </c>
      <c r="F82" s="10" t="s">
        <v>266</v>
      </c>
      <c r="G82" s="9" t="s">
        <v>80</v>
      </c>
      <c r="H82" s="9" t="s">
        <v>27</v>
      </c>
      <c r="I82" s="11" t="s">
        <v>87</v>
      </c>
      <c r="J82" t="s">
        <v>231</v>
      </c>
      <c r="K82" t="s">
        <v>240</v>
      </c>
      <c r="L82" s="9">
        <v>1566.3636363636399</v>
      </c>
      <c r="M82" s="9">
        <v>5.3109090909090897</v>
      </c>
      <c r="N82" s="11">
        <v>368.6</v>
      </c>
    </row>
    <row r="83" spans="1:14" x14ac:dyDescent="0.3">
      <c r="A83" s="4">
        <v>81</v>
      </c>
      <c r="B83" s="5" t="s">
        <v>88</v>
      </c>
      <c r="C83" s="5" t="s">
        <v>121</v>
      </c>
      <c r="D83" s="5" t="s">
        <v>276</v>
      </c>
      <c r="E83" s="6">
        <v>45865</v>
      </c>
      <c r="F83" s="6" t="s">
        <v>271</v>
      </c>
      <c r="G83" s="5" t="s">
        <v>11</v>
      </c>
      <c r="H83" s="5" t="s">
        <v>30</v>
      </c>
      <c r="I83" s="7" t="s">
        <v>93</v>
      </c>
      <c r="J83" t="s">
        <v>232</v>
      </c>
      <c r="K83" t="s">
        <v>240</v>
      </c>
      <c r="L83" s="5">
        <v>1585.45454545455</v>
      </c>
      <c r="M83" s="5">
        <v>5.3227272727272696</v>
      </c>
      <c r="N83" s="7">
        <v>372.68181818181898</v>
      </c>
    </row>
    <row r="84" spans="1:14" x14ac:dyDescent="0.3">
      <c r="A84" s="8">
        <v>82</v>
      </c>
      <c r="B84" s="9" t="s">
        <v>90</v>
      </c>
      <c r="C84" s="9" t="s">
        <v>62</v>
      </c>
      <c r="D84" s="9" t="s">
        <v>277</v>
      </c>
      <c r="E84" s="10">
        <v>45878</v>
      </c>
      <c r="F84" s="10" t="s">
        <v>265</v>
      </c>
      <c r="G84" s="9" t="s">
        <v>16</v>
      </c>
      <c r="H84" s="9" t="s">
        <v>33</v>
      </c>
      <c r="I84" s="11" t="s">
        <v>93</v>
      </c>
      <c r="J84" t="s">
        <v>233</v>
      </c>
      <c r="K84" t="s">
        <v>240</v>
      </c>
      <c r="L84" s="9">
        <v>1604.54545454546</v>
      </c>
      <c r="M84" s="9">
        <v>5.3345454545454496</v>
      </c>
      <c r="N84" s="11">
        <v>376.76363636363698</v>
      </c>
    </row>
    <row r="85" spans="1:14" x14ac:dyDescent="0.3">
      <c r="A85" s="4">
        <v>83</v>
      </c>
      <c r="B85" s="5" t="s">
        <v>130</v>
      </c>
      <c r="C85" s="5" t="s">
        <v>73</v>
      </c>
      <c r="D85" s="5" t="s">
        <v>277</v>
      </c>
      <c r="E85" s="6">
        <v>45922</v>
      </c>
      <c r="F85" s="6" t="s">
        <v>265</v>
      </c>
      <c r="G85" s="5" t="s">
        <v>20</v>
      </c>
      <c r="H85" s="5" t="s">
        <v>36</v>
      </c>
      <c r="I85" s="7" t="s">
        <v>13</v>
      </c>
      <c r="J85" t="s">
        <v>234</v>
      </c>
      <c r="K85" t="s">
        <v>240</v>
      </c>
      <c r="L85" s="5">
        <v>1623.6363636363701</v>
      </c>
      <c r="M85" s="5">
        <v>5.3463636363636304</v>
      </c>
      <c r="N85" s="7">
        <v>380.84545454545503</v>
      </c>
    </row>
    <row r="86" spans="1:14" x14ac:dyDescent="0.3">
      <c r="A86" s="8">
        <v>84</v>
      </c>
      <c r="B86" s="9" t="s">
        <v>132</v>
      </c>
      <c r="C86" s="9" t="s">
        <v>76</v>
      </c>
      <c r="D86" s="9" t="s">
        <v>277</v>
      </c>
      <c r="E86" s="10">
        <v>45935</v>
      </c>
      <c r="F86" s="10" t="s">
        <v>265</v>
      </c>
      <c r="G86" s="9" t="s">
        <v>23</v>
      </c>
      <c r="H86" s="9" t="s">
        <v>40</v>
      </c>
      <c r="I86" s="11" t="s">
        <v>18</v>
      </c>
      <c r="J86" t="s">
        <v>235</v>
      </c>
      <c r="K86" t="s">
        <v>240</v>
      </c>
      <c r="L86" s="9">
        <v>1642.72727272727</v>
      </c>
      <c r="M86" s="9">
        <v>5.3581818181818202</v>
      </c>
      <c r="N86" s="11">
        <v>384.92727272727302</v>
      </c>
    </row>
    <row r="87" spans="1:14" x14ac:dyDescent="0.3">
      <c r="A87" s="4">
        <v>85</v>
      </c>
      <c r="B87" s="5" t="s">
        <v>9</v>
      </c>
      <c r="C87" s="5" t="s">
        <v>71</v>
      </c>
      <c r="D87" s="5" t="s">
        <v>274</v>
      </c>
      <c r="E87" s="6">
        <v>45978</v>
      </c>
      <c r="F87" s="6" t="s">
        <v>265</v>
      </c>
      <c r="G87" s="5" t="s">
        <v>26</v>
      </c>
      <c r="H87" s="5" t="s">
        <v>45</v>
      </c>
      <c r="I87" s="7" t="s">
        <v>18</v>
      </c>
      <c r="J87" t="s">
        <v>236</v>
      </c>
      <c r="K87" t="s">
        <v>240</v>
      </c>
      <c r="L87" s="5">
        <v>1661.8181818181799</v>
      </c>
      <c r="M87" s="5">
        <v>5.37</v>
      </c>
      <c r="N87" s="7">
        <v>389.00909090909101</v>
      </c>
    </row>
    <row r="88" spans="1:14" x14ac:dyDescent="0.3">
      <c r="A88" s="8">
        <v>86</v>
      </c>
      <c r="B88" s="9" t="s">
        <v>14</v>
      </c>
      <c r="C88" s="9" t="s">
        <v>147</v>
      </c>
      <c r="D88" s="9" t="s">
        <v>274</v>
      </c>
      <c r="E88" s="10">
        <v>46019</v>
      </c>
      <c r="F88" s="10" t="s">
        <v>266</v>
      </c>
      <c r="G88" s="9" t="s">
        <v>29</v>
      </c>
      <c r="H88" s="9" t="s">
        <v>48</v>
      </c>
      <c r="I88" s="11" t="s">
        <v>18</v>
      </c>
      <c r="J88" t="s">
        <v>237</v>
      </c>
      <c r="K88" t="s">
        <v>240</v>
      </c>
      <c r="L88" s="9">
        <v>1680.9090909090901</v>
      </c>
      <c r="M88" s="9">
        <v>5.3818181818181801</v>
      </c>
      <c r="N88" s="11">
        <v>393.09090909090901</v>
      </c>
    </row>
    <row r="89" spans="1:14" x14ac:dyDescent="0.3">
      <c r="A89" s="4">
        <v>87</v>
      </c>
      <c r="B89" s="5" t="s">
        <v>146</v>
      </c>
      <c r="C89" s="5" t="s">
        <v>149</v>
      </c>
      <c r="D89" s="5" t="s">
        <v>274</v>
      </c>
      <c r="E89" s="6">
        <v>45665</v>
      </c>
      <c r="F89" s="6" t="s">
        <v>267</v>
      </c>
      <c r="G89" s="5" t="s">
        <v>32</v>
      </c>
      <c r="H89" s="5" t="s">
        <v>51</v>
      </c>
      <c r="I89" s="7" t="s">
        <v>41</v>
      </c>
      <c r="J89" t="s">
        <v>238</v>
      </c>
      <c r="K89" t="s">
        <v>240</v>
      </c>
      <c r="L89" s="5">
        <v>1700</v>
      </c>
      <c r="M89" s="5">
        <v>5.3936363636363698</v>
      </c>
      <c r="N89" s="7">
        <v>397.17272727272803</v>
      </c>
    </row>
    <row r="90" spans="1:14" x14ac:dyDescent="0.3">
      <c r="A90" s="8">
        <v>88</v>
      </c>
      <c r="B90" s="9" t="s">
        <v>148</v>
      </c>
      <c r="C90" s="9" t="s">
        <v>101</v>
      </c>
      <c r="D90" s="9" t="s">
        <v>275</v>
      </c>
      <c r="E90" s="10">
        <v>45707</v>
      </c>
      <c r="F90" s="10" t="s">
        <v>268</v>
      </c>
      <c r="G90" s="9" t="s">
        <v>35</v>
      </c>
      <c r="H90" s="9" t="s">
        <v>56</v>
      </c>
      <c r="I90" s="11" t="s">
        <v>41</v>
      </c>
      <c r="J90" t="s">
        <v>239</v>
      </c>
      <c r="K90" t="s">
        <v>240</v>
      </c>
      <c r="L90" s="9">
        <v>1719.0909090909099</v>
      </c>
      <c r="M90" s="9">
        <v>5.4054545454545497</v>
      </c>
      <c r="N90" s="11">
        <v>401.25454545454602</v>
      </c>
    </row>
    <row r="91" spans="1:14" x14ac:dyDescent="0.3">
      <c r="A91" s="4">
        <v>89</v>
      </c>
      <c r="B91" s="5" t="s">
        <v>100</v>
      </c>
      <c r="C91" s="5" t="s">
        <v>105</v>
      </c>
      <c r="D91" s="5" t="s">
        <v>275</v>
      </c>
      <c r="E91" s="6">
        <v>45747</v>
      </c>
      <c r="F91" s="6" t="s">
        <v>267</v>
      </c>
      <c r="G91" s="5" t="s">
        <v>39</v>
      </c>
      <c r="H91" s="5" t="s">
        <v>60</v>
      </c>
      <c r="I91" s="7" t="s">
        <v>41</v>
      </c>
      <c r="J91" t="s">
        <v>218</v>
      </c>
      <c r="K91" t="s">
        <v>240</v>
      </c>
      <c r="L91" s="5">
        <v>1738.1818181818201</v>
      </c>
      <c r="M91" s="5">
        <v>5.4172727272727297</v>
      </c>
      <c r="N91" s="7">
        <v>405.33636363636401</v>
      </c>
    </row>
    <row r="92" spans="1:14" x14ac:dyDescent="0.3">
      <c r="A92" s="8">
        <v>90</v>
      </c>
      <c r="B92" s="9" t="s">
        <v>102</v>
      </c>
      <c r="C92" s="9" t="s">
        <v>108</v>
      </c>
      <c r="D92" s="9" t="s">
        <v>275</v>
      </c>
      <c r="E92" s="10">
        <v>45762</v>
      </c>
      <c r="F92" s="10" t="s">
        <v>269</v>
      </c>
      <c r="G92" s="9" t="s">
        <v>44</v>
      </c>
      <c r="H92" s="9" t="s">
        <v>64</v>
      </c>
      <c r="I92" s="11" t="s">
        <v>68</v>
      </c>
      <c r="J92" t="s">
        <v>219</v>
      </c>
      <c r="K92" t="s">
        <v>240</v>
      </c>
      <c r="L92" s="9">
        <v>1757.27272727273</v>
      </c>
      <c r="M92" s="9">
        <v>5.4290909090909096</v>
      </c>
      <c r="N92" s="11">
        <v>409.41818181818201</v>
      </c>
    </row>
    <row r="93" spans="1:14" x14ac:dyDescent="0.3">
      <c r="A93" s="4">
        <v>91</v>
      </c>
      <c r="B93" s="5" t="s">
        <v>104</v>
      </c>
      <c r="C93" s="5" t="s">
        <v>143</v>
      </c>
      <c r="D93" s="5" t="s">
        <v>276</v>
      </c>
      <c r="E93" s="6">
        <v>45803</v>
      </c>
      <c r="F93" s="6" t="s">
        <v>266</v>
      </c>
      <c r="G93" s="5" t="s">
        <v>47</v>
      </c>
      <c r="H93" s="5" t="s">
        <v>12</v>
      </c>
      <c r="I93" s="7" t="s">
        <v>68</v>
      </c>
      <c r="J93" t="s">
        <v>220</v>
      </c>
      <c r="K93" t="s">
        <v>240</v>
      </c>
      <c r="L93" s="5">
        <v>1776.3636363636399</v>
      </c>
      <c r="M93" s="5">
        <v>5.4409090909090896</v>
      </c>
      <c r="N93" s="7">
        <v>413.5</v>
      </c>
    </row>
    <row r="94" spans="1:14" x14ac:dyDescent="0.3">
      <c r="A94" s="8">
        <v>92</v>
      </c>
      <c r="B94" s="9" t="s">
        <v>107</v>
      </c>
      <c r="C94" s="9" t="s">
        <v>144</v>
      </c>
      <c r="D94" s="9" t="s">
        <v>276</v>
      </c>
      <c r="E94" s="10">
        <v>45815</v>
      </c>
      <c r="F94" s="10" t="s">
        <v>267</v>
      </c>
      <c r="G94" s="9" t="s">
        <v>50</v>
      </c>
      <c r="H94" s="9" t="s">
        <v>17</v>
      </c>
      <c r="I94" s="11" t="s">
        <v>68</v>
      </c>
      <c r="J94" t="s">
        <v>221</v>
      </c>
      <c r="K94" t="s">
        <v>240</v>
      </c>
      <c r="L94" s="9">
        <v>1795.45454545455</v>
      </c>
      <c r="M94" s="9">
        <v>5.4527272727272704</v>
      </c>
      <c r="N94" s="11">
        <v>417.58181818181902</v>
      </c>
    </row>
    <row r="95" spans="1:14" x14ac:dyDescent="0.3">
      <c r="A95" s="4">
        <v>93</v>
      </c>
      <c r="B95" s="5" t="s">
        <v>37</v>
      </c>
      <c r="C95" s="5" t="s">
        <v>10</v>
      </c>
      <c r="D95" s="5" t="s">
        <v>276</v>
      </c>
      <c r="E95" s="6">
        <v>45856</v>
      </c>
      <c r="F95" s="6" t="s">
        <v>270</v>
      </c>
      <c r="G95" s="5" t="s">
        <v>55</v>
      </c>
      <c r="H95" s="5" t="s">
        <v>21</v>
      </c>
      <c r="I95" s="7" t="s">
        <v>82</v>
      </c>
      <c r="J95" t="s">
        <v>222</v>
      </c>
      <c r="K95" t="s">
        <v>240</v>
      </c>
      <c r="L95" s="5">
        <v>1814.54545454546</v>
      </c>
      <c r="M95" s="5">
        <v>5.4645454545454601</v>
      </c>
      <c r="N95" s="7">
        <v>421.66363636363701</v>
      </c>
    </row>
    <row r="96" spans="1:14" x14ac:dyDescent="0.3">
      <c r="A96" s="8">
        <v>94</v>
      </c>
      <c r="B96" s="9" t="s">
        <v>111</v>
      </c>
      <c r="C96" s="9" t="s">
        <v>34</v>
      </c>
      <c r="D96" s="9" t="s">
        <v>277</v>
      </c>
      <c r="E96" s="10">
        <v>45899</v>
      </c>
      <c r="F96" s="10" t="s">
        <v>265</v>
      </c>
      <c r="G96" s="9" t="s">
        <v>59</v>
      </c>
      <c r="H96" s="9" t="s">
        <v>24</v>
      </c>
      <c r="I96" s="11" t="s">
        <v>82</v>
      </c>
      <c r="J96" t="s">
        <v>223</v>
      </c>
      <c r="K96" t="s">
        <v>240</v>
      </c>
      <c r="L96" s="9">
        <v>1833.6363636363701</v>
      </c>
      <c r="M96" s="9">
        <v>5.4763636363636401</v>
      </c>
      <c r="N96" s="11">
        <v>425.745454545455</v>
      </c>
    </row>
    <row r="97" spans="1:14" x14ac:dyDescent="0.3">
      <c r="A97" s="4">
        <v>95</v>
      </c>
      <c r="B97" s="5" t="s">
        <v>155</v>
      </c>
      <c r="C97" s="5" t="s">
        <v>153</v>
      </c>
      <c r="D97" s="5" t="s">
        <v>277</v>
      </c>
      <c r="E97" s="6">
        <v>45911</v>
      </c>
      <c r="F97" s="6" t="s">
        <v>268</v>
      </c>
      <c r="G97" s="5" t="s">
        <v>63</v>
      </c>
      <c r="H97" s="5" t="s">
        <v>27</v>
      </c>
      <c r="I97" s="7" t="s">
        <v>87</v>
      </c>
      <c r="J97" t="s">
        <v>224</v>
      </c>
      <c r="K97" t="s">
        <v>240</v>
      </c>
      <c r="L97" s="5">
        <v>1852.72727272727</v>
      </c>
      <c r="M97" s="5">
        <v>5.48818181818182</v>
      </c>
      <c r="N97" s="7">
        <v>429.827272727273</v>
      </c>
    </row>
    <row r="98" spans="1:14" x14ac:dyDescent="0.3">
      <c r="A98" s="8">
        <v>96</v>
      </c>
      <c r="B98" s="9" t="s">
        <v>156</v>
      </c>
      <c r="C98" s="9" t="s">
        <v>154</v>
      </c>
      <c r="D98" s="9" t="s">
        <v>277</v>
      </c>
      <c r="E98" s="10">
        <v>45954</v>
      </c>
      <c r="F98" s="10" t="s">
        <v>270</v>
      </c>
      <c r="G98" s="9" t="s">
        <v>67</v>
      </c>
      <c r="H98" s="9" t="s">
        <v>30</v>
      </c>
      <c r="I98" s="11" t="s">
        <v>87</v>
      </c>
      <c r="J98" t="s">
        <v>225</v>
      </c>
      <c r="K98" t="s">
        <v>240</v>
      </c>
      <c r="L98" s="9">
        <v>1871.8181818181799</v>
      </c>
      <c r="M98" s="9">
        <v>5.5</v>
      </c>
      <c r="N98" s="11">
        <v>433.90909090909099</v>
      </c>
    </row>
    <row r="99" spans="1:14" x14ac:dyDescent="0.3">
      <c r="A99" s="4">
        <v>97</v>
      </c>
      <c r="B99" s="5" t="s">
        <v>138</v>
      </c>
      <c r="C99" s="5" t="s">
        <v>116</v>
      </c>
      <c r="D99" s="5" t="s">
        <v>274</v>
      </c>
      <c r="E99" s="6">
        <v>45967</v>
      </c>
      <c r="F99" s="6" t="s">
        <v>269</v>
      </c>
      <c r="G99" s="5" t="s">
        <v>72</v>
      </c>
      <c r="H99" s="5" t="s">
        <v>33</v>
      </c>
      <c r="I99" s="7" t="s">
        <v>93</v>
      </c>
      <c r="J99" t="s">
        <v>226</v>
      </c>
      <c r="K99" t="s">
        <v>240</v>
      </c>
      <c r="L99" s="5">
        <v>1890.9090909090901</v>
      </c>
      <c r="M99" s="5">
        <v>5.51181818181818</v>
      </c>
      <c r="N99" s="7">
        <v>437.99090909090899</v>
      </c>
    </row>
    <row r="100" spans="1:14" x14ac:dyDescent="0.3">
      <c r="A100" s="8">
        <v>98</v>
      </c>
      <c r="B100" s="9" t="s">
        <v>138</v>
      </c>
      <c r="C100" s="9" t="s">
        <v>117</v>
      </c>
      <c r="D100" s="9" t="s">
        <v>274</v>
      </c>
      <c r="E100" s="10">
        <v>46010</v>
      </c>
      <c r="F100" s="10" t="s">
        <v>270</v>
      </c>
      <c r="G100" s="9" t="s">
        <v>74</v>
      </c>
      <c r="H100" s="9" t="s">
        <v>36</v>
      </c>
      <c r="I100" s="11" t="s">
        <v>93</v>
      </c>
      <c r="J100" t="s">
        <v>227</v>
      </c>
      <c r="K100" t="s">
        <v>240</v>
      </c>
      <c r="L100" s="9">
        <v>1910</v>
      </c>
      <c r="M100" s="9">
        <v>5.5236363636363697</v>
      </c>
      <c r="N100" s="11">
        <v>442.072727272728</v>
      </c>
    </row>
    <row r="101" spans="1:14" x14ac:dyDescent="0.3">
      <c r="A101" s="4">
        <v>99</v>
      </c>
      <c r="B101" s="5" t="s">
        <v>138</v>
      </c>
      <c r="C101" s="5" t="s">
        <v>118</v>
      </c>
      <c r="D101" s="5" t="s">
        <v>274</v>
      </c>
      <c r="E101" s="6">
        <v>45690</v>
      </c>
      <c r="F101" s="6" t="s">
        <v>271</v>
      </c>
      <c r="G101" s="5" t="s">
        <v>77</v>
      </c>
      <c r="H101" s="5" t="s">
        <v>40</v>
      </c>
      <c r="I101" s="7" t="s">
        <v>13</v>
      </c>
      <c r="J101" t="s">
        <v>228</v>
      </c>
      <c r="K101" t="s">
        <v>240</v>
      </c>
      <c r="L101" s="5">
        <v>1929.0909090909099</v>
      </c>
      <c r="M101" s="5">
        <v>5.5354545454545496</v>
      </c>
      <c r="N101" s="7">
        <v>446.154545454546</v>
      </c>
    </row>
    <row r="102" spans="1:14" x14ac:dyDescent="0.3">
      <c r="A102" s="8">
        <v>100</v>
      </c>
      <c r="B102" s="9" t="s">
        <v>138</v>
      </c>
      <c r="C102" s="9" t="s">
        <v>121</v>
      </c>
      <c r="D102" s="9" t="s">
        <v>275</v>
      </c>
      <c r="E102" s="10">
        <v>45730</v>
      </c>
      <c r="F102" s="10" t="s">
        <v>269</v>
      </c>
      <c r="G102" s="9" t="s">
        <v>80</v>
      </c>
      <c r="H102" s="9" t="s">
        <v>45</v>
      </c>
      <c r="I102" s="11" t="s">
        <v>18</v>
      </c>
      <c r="J102" t="s">
        <v>229</v>
      </c>
      <c r="K102" t="s">
        <v>240</v>
      </c>
      <c r="L102" s="9">
        <v>1948.1818181818201</v>
      </c>
      <c r="M102" s="9">
        <v>5.5472727272727296</v>
      </c>
      <c r="N102" s="11">
        <v>450.23636363636399</v>
      </c>
    </row>
    <row r="103" spans="1:14" x14ac:dyDescent="0.3">
      <c r="A103" s="4">
        <v>101</v>
      </c>
      <c r="B103" s="5" t="s">
        <v>138</v>
      </c>
      <c r="C103" s="5" t="s">
        <v>62</v>
      </c>
      <c r="D103" s="5" t="s">
        <v>275</v>
      </c>
      <c r="E103" s="6">
        <v>45662</v>
      </c>
      <c r="F103" s="6" t="s">
        <v>268</v>
      </c>
      <c r="G103" s="5" t="s">
        <v>11</v>
      </c>
      <c r="H103" s="5" t="s">
        <v>48</v>
      </c>
      <c r="I103" s="7" t="s">
        <v>18</v>
      </c>
      <c r="J103" t="s">
        <v>230</v>
      </c>
      <c r="K103" t="s">
        <v>240</v>
      </c>
      <c r="L103" s="5">
        <v>1967.27272727273</v>
      </c>
      <c r="M103" s="5">
        <v>5.5590909090909104</v>
      </c>
      <c r="N103" s="7">
        <v>454.31818181818198</v>
      </c>
    </row>
    <row r="104" spans="1:14" x14ac:dyDescent="0.3">
      <c r="A104" s="8">
        <v>102</v>
      </c>
      <c r="B104" s="9" t="s">
        <v>100</v>
      </c>
      <c r="C104" s="9" t="s">
        <v>124</v>
      </c>
      <c r="D104" s="9" t="s">
        <v>275</v>
      </c>
      <c r="E104" s="10">
        <v>45706</v>
      </c>
      <c r="F104" s="10" t="s">
        <v>266</v>
      </c>
      <c r="G104" s="9" t="s">
        <v>16</v>
      </c>
      <c r="H104" s="9" t="s">
        <v>51</v>
      </c>
      <c r="I104" s="11" t="s">
        <v>18</v>
      </c>
      <c r="J104" t="s">
        <v>231</v>
      </c>
      <c r="K104" t="s">
        <v>240</v>
      </c>
      <c r="L104" s="9">
        <v>1986.3636363636399</v>
      </c>
      <c r="M104" s="9">
        <v>5.5709090909090904</v>
      </c>
      <c r="N104" s="11">
        <v>458.4</v>
      </c>
    </row>
    <row r="105" spans="1:14" x14ac:dyDescent="0.3">
      <c r="A105" s="4">
        <v>103</v>
      </c>
      <c r="B105" s="5" t="s">
        <v>100</v>
      </c>
      <c r="C105" s="5" t="s">
        <v>157</v>
      </c>
      <c r="D105" s="5" t="s">
        <v>276</v>
      </c>
      <c r="E105" s="6">
        <v>45743</v>
      </c>
      <c r="F105" s="6" t="s">
        <v>266</v>
      </c>
      <c r="G105" s="5" t="s">
        <v>20</v>
      </c>
      <c r="H105" s="5" t="s">
        <v>56</v>
      </c>
      <c r="I105" s="7" t="s">
        <v>18</v>
      </c>
      <c r="J105" t="s">
        <v>232</v>
      </c>
      <c r="K105" t="s">
        <v>240</v>
      </c>
      <c r="L105" s="5">
        <v>2005.45454545455</v>
      </c>
      <c r="M105" s="5">
        <v>5.5827272727272703</v>
      </c>
      <c r="N105" s="7">
        <v>462.48181818181899</v>
      </c>
    </row>
    <row r="106" spans="1:14" x14ac:dyDescent="0.3">
      <c r="A106" s="8">
        <v>104</v>
      </c>
      <c r="B106" s="9" t="s">
        <v>100</v>
      </c>
      <c r="C106" s="9" t="s">
        <v>149</v>
      </c>
      <c r="D106" s="9" t="s">
        <v>276</v>
      </c>
      <c r="E106" s="10">
        <v>45758</v>
      </c>
      <c r="F106" s="10" t="s">
        <v>267</v>
      </c>
      <c r="G106" s="9" t="s">
        <v>23</v>
      </c>
      <c r="H106" s="9" t="s">
        <v>60</v>
      </c>
      <c r="I106" s="11" t="s">
        <v>18</v>
      </c>
      <c r="J106" t="s">
        <v>233</v>
      </c>
      <c r="K106" t="s">
        <v>240</v>
      </c>
      <c r="L106" s="9">
        <v>2024.54545454546</v>
      </c>
      <c r="M106" s="9">
        <v>5.59454545454546</v>
      </c>
      <c r="N106" s="11">
        <v>466.56363636363699</v>
      </c>
    </row>
    <row r="107" spans="1:14" x14ac:dyDescent="0.3">
      <c r="A107" s="4">
        <v>105</v>
      </c>
      <c r="B107" s="5" t="s">
        <v>100</v>
      </c>
      <c r="C107" s="5" t="s">
        <v>158</v>
      </c>
      <c r="D107" s="5" t="s">
        <v>276</v>
      </c>
      <c r="E107" s="6">
        <v>45799</v>
      </c>
      <c r="F107" s="6" t="s">
        <v>267</v>
      </c>
      <c r="G107" s="5" t="s">
        <v>26</v>
      </c>
      <c r="H107" s="5" t="s">
        <v>64</v>
      </c>
      <c r="I107" s="7" t="s">
        <v>41</v>
      </c>
      <c r="J107" t="s">
        <v>234</v>
      </c>
      <c r="K107" t="s">
        <v>240</v>
      </c>
      <c r="L107" s="5">
        <v>2043.6363636363701</v>
      </c>
      <c r="M107" s="5">
        <v>5.60636363636364</v>
      </c>
      <c r="N107" s="7">
        <v>470.64545454545498</v>
      </c>
    </row>
    <row r="108" spans="1:14" x14ac:dyDescent="0.3">
      <c r="A108" s="8">
        <v>106</v>
      </c>
      <c r="B108" s="9" t="s">
        <v>100</v>
      </c>
      <c r="C108" s="9" t="s">
        <v>159</v>
      </c>
      <c r="D108" s="9" t="s">
        <v>277</v>
      </c>
      <c r="E108" s="10">
        <v>45817</v>
      </c>
      <c r="F108" s="10" t="s">
        <v>268</v>
      </c>
      <c r="G108" s="9" t="s">
        <v>29</v>
      </c>
      <c r="H108" s="9" t="s">
        <v>12</v>
      </c>
      <c r="I108" s="11" t="s">
        <v>41</v>
      </c>
      <c r="J108" t="s">
        <v>235</v>
      </c>
      <c r="K108" t="s">
        <v>240</v>
      </c>
      <c r="L108" s="9">
        <v>2062.7272727272698</v>
      </c>
      <c r="M108" s="9">
        <v>5.6181818181818199</v>
      </c>
      <c r="N108" s="11">
        <v>474.72727272727298</v>
      </c>
    </row>
    <row r="109" spans="1:14" x14ac:dyDescent="0.3">
      <c r="A109" s="4">
        <v>107</v>
      </c>
      <c r="B109" s="5" t="s">
        <v>100</v>
      </c>
      <c r="C109" s="5" t="s">
        <v>160</v>
      </c>
      <c r="D109" s="5" t="s">
        <v>277</v>
      </c>
      <c r="E109" s="6">
        <v>45853</v>
      </c>
      <c r="F109" s="6" t="s">
        <v>266</v>
      </c>
      <c r="G109" s="5" t="s">
        <v>32</v>
      </c>
      <c r="H109" s="5" t="s">
        <v>17</v>
      </c>
      <c r="I109" s="7" t="s">
        <v>41</v>
      </c>
      <c r="J109" t="s">
        <v>236</v>
      </c>
      <c r="K109" t="s">
        <v>240</v>
      </c>
      <c r="L109" s="5">
        <v>2081.8181818181802</v>
      </c>
      <c r="M109" s="5">
        <v>5.63</v>
      </c>
      <c r="N109" s="7">
        <v>478.80909090909103</v>
      </c>
    </row>
    <row r="110" spans="1:14" x14ac:dyDescent="0.3">
      <c r="A110" s="8">
        <v>108</v>
      </c>
      <c r="B110" s="9" t="s">
        <v>102</v>
      </c>
      <c r="C110" s="9" t="s">
        <v>161</v>
      </c>
      <c r="D110" s="9" t="s">
        <v>277</v>
      </c>
      <c r="E110" s="10">
        <v>45897</v>
      </c>
      <c r="F110" s="10" t="s">
        <v>266</v>
      </c>
      <c r="G110" s="9" t="s">
        <v>35</v>
      </c>
      <c r="H110" s="9" t="s">
        <v>21</v>
      </c>
      <c r="I110" s="11" t="s">
        <v>41</v>
      </c>
      <c r="J110" t="s">
        <v>237</v>
      </c>
      <c r="K110" t="s">
        <v>240</v>
      </c>
      <c r="L110" s="9">
        <v>2100.9090909090901</v>
      </c>
      <c r="M110" s="9">
        <v>5.6418181818181798</v>
      </c>
      <c r="N110" s="11">
        <v>482.89090909090902</v>
      </c>
    </row>
    <row r="111" spans="1:14" x14ac:dyDescent="0.3">
      <c r="A111" s="4">
        <v>109</v>
      </c>
      <c r="B111" s="5" t="s">
        <v>102</v>
      </c>
      <c r="C111" s="5" t="s">
        <v>116</v>
      </c>
      <c r="D111" s="5" t="s">
        <v>274</v>
      </c>
      <c r="E111" s="6">
        <v>45903</v>
      </c>
      <c r="F111" s="6" t="s">
        <v>271</v>
      </c>
      <c r="G111" s="5" t="s">
        <v>39</v>
      </c>
      <c r="H111" s="5" t="s">
        <v>24</v>
      </c>
      <c r="I111" s="7" t="s">
        <v>68</v>
      </c>
      <c r="J111" t="s">
        <v>238</v>
      </c>
      <c r="K111" t="s">
        <v>240</v>
      </c>
      <c r="L111" s="5">
        <v>2120</v>
      </c>
      <c r="M111" s="5">
        <v>5.6536363636363696</v>
      </c>
      <c r="N111" s="7">
        <v>486.97272727272798</v>
      </c>
    </row>
    <row r="112" spans="1:14" x14ac:dyDescent="0.3">
      <c r="A112" s="8">
        <v>110</v>
      </c>
      <c r="B112" s="9" t="s">
        <v>102</v>
      </c>
      <c r="C112" s="9" t="s">
        <v>81</v>
      </c>
      <c r="D112" s="9" t="s">
        <v>274</v>
      </c>
      <c r="E112" s="10">
        <v>45949</v>
      </c>
      <c r="F112" s="10" t="s">
        <v>265</v>
      </c>
      <c r="G112" s="9" t="s">
        <v>44</v>
      </c>
      <c r="H112" s="9" t="s">
        <v>27</v>
      </c>
      <c r="I112" s="11" t="s">
        <v>68</v>
      </c>
      <c r="J112" t="s">
        <v>239</v>
      </c>
      <c r="K112" t="s">
        <v>240</v>
      </c>
      <c r="L112" s="9">
        <v>2139.0909090909099</v>
      </c>
      <c r="M112" s="9">
        <v>5.6654545454545504</v>
      </c>
      <c r="N112" s="11">
        <v>491.05454545454597</v>
      </c>
    </row>
    <row r="113" spans="1:14" x14ac:dyDescent="0.3">
      <c r="A113" s="4">
        <v>111</v>
      </c>
      <c r="B113" s="5" t="s">
        <v>102</v>
      </c>
      <c r="C113" s="5" t="s">
        <v>162</v>
      </c>
      <c r="D113" s="5" t="s">
        <v>274</v>
      </c>
      <c r="E113" s="6">
        <v>45968</v>
      </c>
      <c r="F113" s="6" t="s">
        <v>265</v>
      </c>
      <c r="G113" s="5" t="s">
        <v>47</v>
      </c>
      <c r="H113" s="5" t="s">
        <v>30</v>
      </c>
      <c r="I113" s="7" t="s">
        <v>68</v>
      </c>
      <c r="J113" t="s">
        <v>218</v>
      </c>
      <c r="K113" t="s">
        <v>240</v>
      </c>
      <c r="L113" s="5">
        <v>2158.1818181818198</v>
      </c>
      <c r="M113" s="5">
        <v>5.6772727272727304</v>
      </c>
      <c r="N113" s="7">
        <v>495.13636363636402</v>
      </c>
    </row>
    <row r="114" spans="1:14" x14ac:dyDescent="0.3">
      <c r="A114" s="8">
        <v>112</v>
      </c>
      <c r="B114" s="9" t="s">
        <v>102</v>
      </c>
      <c r="C114" s="9" t="s">
        <v>163</v>
      </c>
      <c r="D114" s="9" t="s">
        <v>275</v>
      </c>
      <c r="E114" s="10">
        <v>46015</v>
      </c>
      <c r="F114" s="10" t="s">
        <v>265</v>
      </c>
      <c r="G114" s="9" t="s">
        <v>50</v>
      </c>
      <c r="H114" s="9" t="s">
        <v>33</v>
      </c>
      <c r="I114" s="11" t="s">
        <v>68</v>
      </c>
      <c r="J114" t="s">
        <v>219</v>
      </c>
      <c r="K114" t="s">
        <v>240</v>
      </c>
      <c r="L114" s="9">
        <v>2177.2727272727302</v>
      </c>
      <c r="M114" s="9">
        <v>5.6890909090909103</v>
      </c>
      <c r="N114" s="11">
        <v>499.21818181818202</v>
      </c>
    </row>
    <row r="115" spans="1:14" x14ac:dyDescent="0.3">
      <c r="A115" s="4">
        <v>113</v>
      </c>
      <c r="B115" s="5" t="s">
        <v>102</v>
      </c>
      <c r="C115" s="5" t="s">
        <v>164</v>
      </c>
      <c r="D115" s="5" t="s">
        <v>275</v>
      </c>
      <c r="E115" s="6">
        <v>45670</v>
      </c>
      <c r="F115" s="6" t="s">
        <v>265</v>
      </c>
      <c r="G115" s="5" t="s">
        <v>55</v>
      </c>
      <c r="H115" s="5" t="s">
        <v>36</v>
      </c>
      <c r="I115" s="7" t="s">
        <v>82</v>
      </c>
      <c r="J115" t="s">
        <v>220</v>
      </c>
      <c r="K115" t="s">
        <v>240</v>
      </c>
      <c r="L115" s="5">
        <v>2196.3636363636401</v>
      </c>
      <c r="M115" s="5">
        <v>5.7009090909090903</v>
      </c>
      <c r="N115" s="7">
        <v>503.3</v>
      </c>
    </row>
    <row r="116" spans="1:14" x14ac:dyDescent="0.3">
      <c r="A116" s="8">
        <v>114</v>
      </c>
      <c r="B116" s="9" t="s">
        <v>146</v>
      </c>
      <c r="C116" s="9" t="s">
        <v>117</v>
      </c>
      <c r="D116" s="9" t="s">
        <v>275</v>
      </c>
      <c r="E116" s="10">
        <v>45714</v>
      </c>
      <c r="F116" s="10" t="s">
        <v>266</v>
      </c>
      <c r="G116" s="9" t="s">
        <v>59</v>
      </c>
      <c r="H116" s="9" t="s">
        <v>40</v>
      </c>
      <c r="I116" s="11" t="s">
        <v>82</v>
      </c>
      <c r="J116" t="s">
        <v>221</v>
      </c>
      <c r="K116" t="s">
        <v>240</v>
      </c>
      <c r="L116" s="9">
        <v>2215.45454545455</v>
      </c>
      <c r="M116" s="9">
        <v>5.7127272727272702</v>
      </c>
      <c r="N116" s="11">
        <v>507.38181818181903</v>
      </c>
    </row>
    <row r="117" spans="1:14" x14ac:dyDescent="0.3">
      <c r="A117" s="4">
        <v>115</v>
      </c>
      <c r="B117" s="5" t="s">
        <v>146</v>
      </c>
      <c r="C117" s="5" t="s">
        <v>165</v>
      </c>
      <c r="D117" s="5" t="s">
        <v>276</v>
      </c>
      <c r="E117" s="6">
        <v>45724</v>
      </c>
      <c r="F117" s="6" t="s">
        <v>267</v>
      </c>
      <c r="G117" s="5" t="s">
        <v>63</v>
      </c>
      <c r="H117" s="5" t="s">
        <v>45</v>
      </c>
      <c r="I117" s="7" t="s">
        <v>87</v>
      </c>
      <c r="J117" t="s">
        <v>222</v>
      </c>
      <c r="K117" t="s">
        <v>240</v>
      </c>
      <c r="L117" s="5">
        <v>2234.54545454546</v>
      </c>
      <c r="M117" s="5">
        <v>5.7245454545454599</v>
      </c>
      <c r="N117" s="7">
        <v>511.46363636363702</v>
      </c>
    </row>
    <row r="118" spans="1:14" x14ac:dyDescent="0.3">
      <c r="A118" s="8">
        <v>116</v>
      </c>
      <c r="B118" s="9" t="s">
        <v>146</v>
      </c>
      <c r="C118" s="9" t="s">
        <v>166</v>
      </c>
      <c r="D118" s="9" t="s">
        <v>276</v>
      </c>
      <c r="E118" s="10">
        <v>45768</v>
      </c>
      <c r="F118" s="10" t="s">
        <v>268</v>
      </c>
      <c r="G118" s="9" t="s">
        <v>67</v>
      </c>
      <c r="H118" s="9" t="s">
        <v>48</v>
      </c>
      <c r="I118" s="11" t="s">
        <v>87</v>
      </c>
      <c r="J118" t="s">
        <v>223</v>
      </c>
      <c r="K118" t="s">
        <v>240</v>
      </c>
      <c r="L118" s="9">
        <v>2253.6363636363699</v>
      </c>
      <c r="M118" s="9">
        <v>5.7363636363636399</v>
      </c>
      <c r="N118" s="11">
        <v>515.54545454545496</v>
      </c>
    </row>
    <row r="119" spans="1:14" x14ac:dyDescent="0.3">
      <c r="A119" s="4">
        <v>117</v>
      </c>
      <c r="B119" s="5" t="s">
        <v>146</v>
      </c>
      <c r="C119" s="5" t="s">
        <v>167</v>
      </c>
      <c r="D119" s="5" t="s">
        <v>276</v>
      </c>
      <c r="E119" s="6">
        <v>45779</v>
      </c>
      <c r="F119" s="6" t="s">
        <v>267</v>
      </c>
      <c r="G119" s="5" t="s">
        <v>72</v>
      </c>
      <c r="H119" s="5" t="s">
        <v>51</v>
      </c>
      <c r="I119" s="7" t="s">
        <v>93</v>
      </c>
      <c r="J119" t="s">
        <v>224</v>
      </c>
      <c r="K119" t="s">
        <v>240</v>
      </c>
      <c r="L119" s="5">
        <v>2272.7272727272698</v>
      </c>
      <c r="M119" s="5">
        <v>5.7481818181818198</v>
      </c>
      <c r="N119" s="7">
        <v>519.62727272727295</v>
      </c>
    </row>
    <row r="120" spans="1:14" x14ac:dyDescent="0.3">
      <c r="A120" s="8">
        <v>118</v>
      </c>
      <c r="B120" s="9" t="s">
        <v>146</v>
      </c>
      <c r="C120" s="9" t="s">
        <v>168</v>
      </c>
      <c r="D120" s="9" t="s">
        <v>277</v>
      </c>
      <c r="E120" s="10">
        <v>45825</v>
      </c>
      <c r="F120" s="10" t="s">
        <v>269</v>
      </c>
      <c r="G120" s="9" t="s">
        <v>74</v>
      </c>
      <c r="H120" s="9" t="s">
        <v>56</v>
      </c>
      <c r="I120" s="11" t="s">
        <v>93</v>
      </c>
      <c r="J120" t="s">
        <v>225</v>
      </c>
      <c r="K120" t="s">
        <v>240</v>
      </c>
      <c r="L120" s="9">
        <v>2291.8181818181802</v>
      </c>
      <c r="M120" s="9">
        <v>5.76</v>
      </c>
      <c r="N120" s="11">
        <v>523.70909090909095</v>
      </c>
    </row>
    <row r="121" spans="1:14" x14ac:dyDescent="0.3">
      <c r="A121" s="4">
        <v>119</v>
      </c>
      <c r="B121" s="5" t="s">
        <v>146</v>
      </c>
      <c r="C121" s="5" t="s">
        <v>153</v>
      </c>
      <c r="D121" s="5" t="s">
        <v>277</v>
      </c>
      <c r="E121" s="6">
        <v>45867</v>
      </c>
      <c r="F121" s="6" t="s">
        <v>266</v>
      </c>
      <c r="G121" s="5" t="s">
        <v>77</v>
      </c>
      <c r="H121" s="5" t="s">
        <v>60</v>
      </c>
      <c r="I121" s="7" t="s">
        <v>13</v>
      </c>
      <c r="J121" t="s">
        <v>42</v>
      </c>
      <c r="K121" t="s">
        <v>241</v>
      </c>
      <c r="L121" s="5">
        <v>2310.9090909090901</v>
      </c>
      <c r="M121" s="5">
        <v>5.7718181818181797</v>
      </c>
      <c r="N121" s="7">
        <v>527.79090909090905</v>
      </c>
    </row>
    <row r="122" spans="1:14" x14ac:dyDescent="0.3">
      <c r="A122" s="8">
        <v>120</v>
      </c>
      <c r="B122" s="9" t="s">
        <v>146</v>
      </c>
      <c r="C122" s="9" t="s">
        <v>169</v>
      </c>
      <c r="D122" s="9" t="s">
        <v>277</v>
      </c>
      <c r="E122" s="10">
        <v>45883</v>
      </c>
      <c r="F122" s="10" t="s">
        <v>267</v>
      </c>
      <c r="G122" s="9" t="s">
        <v>80</v>
      </c>
      <c r="H122" s="9" t="s">
        <v>64</v>
      </c>
      <c r="I122" s="11" t="s">
        <v>18</v>
      </c>
      <c r="J122" t="s">
        <v>52</v>
      </c>
      <c r="K122" t="s">
        <v>241</v>
      </c>
      <c r="L122" s="9">
        <v>2330</v>
      </c>
      <c r="M122" s="9">
        <v>5.7836363636363597</v>
      </c>
      <c r="N122" s="11">
        <v>531.87272727272796</v>
      </c>
    </row>
    <row r="123" spans="1:14" x14ac:dyDescent="0.3">
      <c r="A123" s="4">
        <v>121</v>
      </c>
      <c r="B123" s="5" t="s">
        <v>146</v>
      </c>
      <c r="C123" s="5" t="s">
        <v>170</v>
      </c>
      <c r="D123" s="5" t="s">
        <v>274</v>
      </c>
      <c r="E123" s="6">
        <v>45925</v>
      </c>
      <c r="F123" s="6" t="s">
        <v>270</v>
      </c>
      <c r="G123" s="5" t="s">
        <v>11</v>
      </c>
      <c r="H123" s="5" t="s">
        <v>12</v>
      </c>
      <c r="I123" s="7" t="s">
        <v>18</v>
      </c>
      <c r="J123" t="s">
        <v>242</v>
      </c>
      <c r="K123" t="s">
        <v>241</v>
      </c>
      <c r="L123" s="5">
        <v>2349.0909090909099</v>
      </c>
      <c r="M123" s="5">
        <v>5.7954545454545503</v>
      </c>
      <c r="N123" s="7">
        <v>535.95454545454595</v>
      </c>
    </row>
    <row r="124" spans="1:14" x14ac:dyDescent="0.3">
      <c r="A124" s="8">
        <v>122</v>
      </c>
      <c r="B124" s="9" t="s">
        <v>70</v>
      </c>
      <c r="C124" s="9" t="s">
        <v>171</v>
      </c>
      <c r="D124" s="9" t="s">
        <v>274</v>
      </c>
      <c r="E124" s="10">
        <v>45940</v>
      </c>
      <c r="F124" s="10" t="s">
        <v>265</v>
      </c>
      <c r="G124" s="9" t="s">
        <v>16</v>
      </c>
      <c r="H124" s="9" t="s">
        <v>17</v>
      </c>
      <c r="I124" s="11" t="s">
        <v>18</v>
      </c>
      <c r="J124" t="s">
        <v>243</v>
      </c>
      <c r="K124" t="s">
        <v>241</v>
      </c>
      <c r="L124" s="9">
        <v>2368.1818181818198</v>
      </c>
      <c r="M124" s="9">
        <v>5.8072727272727303</v>
      </c>
      <c r="N124" s="11">
        <v>540.03636363636394</v>
      </c>
    </row>
    <row r="125" spans="1:14" x14ac:dyDescent="0.3">
      <c r="A125" s="4">
        <v>123</v>
      </c>
      <c r="B125" s="5" t="s">
        <v>70</v>
      </c>
      <c r="C125" s="5" t="s">
        <v>172</v>
      </c>
      <c r="D125" s="5" t="s">
        <v>274</v>
      </c>
      <c r="E125" s="6">
        <v>45979</v>
      </c>
      <c r="F125" s="6" t="s">
        <v>268</v>
      </c>
      <c r="G125" s="5" t="s">
        <v>20</v>
      </c>
      <c r="H125" s="5" t="s">
        <v>21</v>
      </c>
      <c r="I125" s="7" t="s">
        <v>41</v>
      </c>
      <c r="J125" t="s">
        <v>244</v>
      </c>
      <c r="K125" t="s">
        <v>241</v>
      </c>
      <c r="L125" s="5">
        <v>2387.2727272727302</v>
      </c>
      <c r="M125" s="5">
        <v>5.8190909090909102</v>
      </c>
      <c r="N125" s="7">
        <v>544.11818181818205</v>
      </c>
    </row>
    <row r="126" spans="1:14" x14ac:dyDescent="0.3">
      <c r="A126" s="8">
        <v>124</v>
      </c>
      <c r="B126" s="9" t="s">
        <v>70</v>
      </c>
      <c r="C126" s="9" t="s">
        <v>173</v>
      </c>
      <c r="D126" s="9" t="s">
        <v>275</v>
      </c>
      <c r="E126" s="10">
        <v>46021</v>
      </c>
      <c r="F126" s="10" t="s">
        <v>270</v>
      </c>
      <c r="G126" s="9" t="s">
        <v>23</v>
      </c>
      <c r="H126" s="9" t="s">
        <v>24</v>
      </c>
      <c r="I126" s="11" t="s">
        <v>41</v>
      </c>
      <c r="J126" t="s">
        <v>245</v>
      </c>
      <c r="K126" t="s">
        <v>241</v>
      </c>
      <c r="L126" s="9">
        <v>2406.3636363636401</v>
      </c>
      <c r="M126" s="9">
        <v>5.8309090909090902</v>
      </c>
      <c r="N126" s="11">
        <v>548.20000000000005</v>
      </c>
    </row>
    <row r="127" spans="1:14" x14ac:dyDescent="0.3">
      <c r="A127" s="4">
        <v>125</v>
      </c>
      <c r="B127" s="5" t="s">
        <v>70</v>
      </c>
      <c r="C127" s="5" t="s">
        <v>91</v>
      </c>
      <c r="D127" s="5" t="s">
        <v>275</v>
      </c>
      <c r="E127" s="6">
        <v>45661</v>
      </c>
      <c r="F127" s="6" t="s">
        <v>269</v>
      </c>
      <c r="G127" s="5" t="s">
        <v>26</v>
      </c>
      <c r="H127" s="5" t="s">
        <v>27</v>
      </c>
      <c r="I127" s="7" t="s">
        <v>68</v>
      </c>
      <c r="J127" t="s">
        <v>246</v>
      </c>
      <c r="K127" t="s">
        <v>241</v>
      </c>
      <c r="L127" s="5">
        <v>2425.45454545455</v>
      </c>
      <c r="M127" s="5">
        <v>5.8427272727272701</v>
      </c>
      <c r="N127" s="7">
        <v>552.28181818181895</v>
      </c>
    </row>
    <row r="128" spans="1:14" x14ac:dyDescent="0.3">
      <c r="A128" s="8">
        <v>126</v>
      </c>
      <c r="B128" s="9" t="s">
        <v>70</v>
      </c>
      <c r="C128" s="9" t="s">
        <v>92</v>
      </c>
      <c r="D128" s="9" t="s">
        <v>275</v>
      </c>
      <c r="E128" s="10">
        <v>45704</v>
      </c>
      <c r="F128" s="10" t="s">
        <v>270</v>
      </c>
      <c r="G128" s="9" t="s">
        <v>29</v>
      </c>
      <c r="H128" s="9" t="s">
        <v>30</v>
      </c>
      <c r="I128" s="11" t="s">
        <v>68</v>
      </c>
      <c r="J128" t="s">
        <v>247</v>
      </c>
      <c r="K128" t="s">
        <v>241</v>
      </c>
      <c r="L128" s="9">
        <v>2444.54545454546</v>
      </c>
      <c r="M128" s="9">
        <v>5.8545454545454598</v>
      </c>
      <c r="N128" s="11">
        <v>556.36363636363706</v>
      </c>
    </row>
    <row r="129" spans="1:14" x14ac:dyDescent="0.3">
      <c r="A129" s="4">
        <v>127</v>
      </c>
      <c r="B129" s="5" t="s">
        <v>70</v>
      </c>
      <c r="C129" s="5" t="s">
        <v>94</v>
      </c>
      <c r="D129" s="5" t="s">
        <v>276</v>
      </c>
      <c r="E129" s="6">
        <v>45739</v>
      </c>
      <c r="F129" s="6" t="s">
        <v>271</v>
      </c>
      <c r="G129" s="5" t="s">
        <v>32</v>
      </c>
      <c r="H129" s="5" t="s">
        <v>33</v>
      </c>
      <c r="I129" s="7" t="s">
        <v>82</v>
      </c>
      <c r="J129" t="s">
        <v>248</v>
      </c>
      <c r="K129" t="s">
        <v>241</v>
      </c>
      <c r="L129" s="5">
        <v>2463.6363636363699</v>
      </c>
      <c r="M129" s="5">
        <v>5.8663636363636398</v>
      </c>
      <c r="N129" s="7">
        <v>560.44545454545505</v>
      </c>
    </row>
    <row r="130" spans="1:14" x14ac:dyDescent="0.3">
      <c r="A130" s="8">
        <v>128</v>
      </c>
      <c r="B130" s="9" t="s">
        <v>70</v>
      </c>
      <c r="C130" s="9" t="s">
        <v>95</v>
      </c>
      <c r="D130" s="9" t="s">
        <v>276</v>
      </c>
      <c r="E130" s="10">
        <v>45753</v>
      </c>
      <c r="F130" s="10" t="s">
        <v>269</v>
      </c>
      <c r="G130" s="9" t="s">
        <v>35</v>
      </c>
      <c r="H130" s="9" t="s">
        <v>36</v>
      </c>
      <c r="I130" s="11" t="s">
        <v>87</v>
      </c>
      <c r="J130" t="s">
        <v>109</v>
      </c>
      <c r="K130" t="s">
        <v>241</v>
      </c>
      <c r="L130" s="9">
        <v>2482.7272727272698</v>
      </c>
      <c r="M130" s="9">
        <v>5.8781818181818197</v>
      </c>
      <c r="N130" s="11">
        <v>564.52727272727304</v>
      </c>
    </row>
    <row r="131" spans="1:14" x14ac:dyDescent="0.3">
      <c r="A131" s="4">
        <v>129</v>
      </c>
      <c r="B131" s="5" t="s">
        <v>120</v>
      </c>
      <c r="C131" s="5" t="s">
        <v>97</v>
      </c>
      <c r="D131" s="5" t="s">
        <v>276</v>
      </c>
      <c r="E131" s="6">
        <v>45797</v>
      </c>
      <c r="F131" s="6" t="s">
        <v>268</v>
      </c>
      <c r="G131" s="5" t="s">
        <v>39</v>
      </c>
      <c r="H131" s="5" t="s">
        <v>40</v>
      </c>
      <c r="I131" s="7" t="s">
        <v>93</v>
      </c>
      <c r="J131" t="s">
        <v>249</v>
      </c>
      <c r="K131" t="s">
        <v>241</v>
      </c>
      <c r="L131" s="5">
        <v>2501.8181818181802</v>
      </c>
      <c r="M131" s="5">
        <v>5.89</v>
      </c>
      <c r="N131" s="7">
        <v>568.60909090909104</v>
      </c>
    </row>
    <row r="132" spans="1:14" x14ac:dyDescent="0.3">
      <c r="A132" s="8">
        <v>130</v>
      </c>
      <c r="B132" s="9" t="s">
        <v>120</v>
      </c>
      <c r="C132" s="9" t="s">
        <v>98</v>
      </c>
      <c r="D132" s="9" t="s">
        <v>277</v>
      </c>
      <c r="E132" s="10">
        <v>45820</v>
      </c>
      <c r="F132" s="10" t="s">
        <v>266</v>
      </c>
      <c r="G132" s="9" t="s">
        <v>44</v>
      </c>
      <c r="H132" s="9" t="s">
        <v>45</v>
      </c>
      <c r="I132" s="11" t="s">
        <v>13</v>
      </c>
      <c r="J132" t="s">
        <v>250</v>
      </c>
      <c r="K132" t="s">
        <v>241</v>
      </c>
      <c r="L132" s="9">
        <v>2520.9090909090901</v>
      </c>
      <c r="M132" s="9">
        <v>5.9018181818181796</v>
      </c>
      <c r="N132" s="11">
        <v>572.69090909091005</v>
      </c>
    </row>
    <row r="133" spans="1:14" x14ac:dyDescent="0.3">
      <c r="A133" s="4">
        <v>131</v>
      </c>
      <c r="B133" s="5" t="s">
        <v>120</v>
      </c>
      <c r="C133" s="5" t="s">
        <v>131</v>
      </c>
      <c r="D133" s="5" t="s">
        <v>277</v>
      </c>
      <c r="E133" s="6">
        <v>45865</v>
      </c>
      <c r="F133" s="6" t="s">
        <v>266</v>
      </c>
      <c r="G133" s="5" t="s">
        <v>47</v>
      </c>
      <c r="H133" s="5" t="s">
        <v>48</v>
      </c>
      <c r="I133" s="7" t="s">
        <v>18</v>
      </c>
      <c r="J133" t="s">
        <v>75</v>
      </c>
      <c r="K133" t="s">
        <v>241</v>
      </c>
      <c r="L133" s="5">
        <v>2540</v>
      </c>
      <c r="M133" s="5">
        <v>5.9136363636363596</v>
      </c>
      <c r="N133" s="7">
        <v>576.77272727272805</v>
      </c>
    </row>
    <row r="134" spans="1:14" x14ac:dyDescent="0.3">
      <c r="A134" s="8">
        <v>132</v>
      </c>
      <c r="B134" s="9" t="s">
        <v>120</v>
      </c>
      <c r="C134" s="9" t="s">
        <v>174</v>
      </c>
      <c r="D134" s="9" t="s">
        <v>277</v>
      </c>
      <c r="E134" s="10">
        <v>45878</v>
      </c>
      <c r="F134" s="10" t="s">
        <v>267</v>
      </c>
      <c r="G134" s="9" t="s">
        <v>50</v>
      </c>
      <c r="H134" s="9" t="s">
        <v>51</v>
      </c>
      <c r="I134" s="11" t="s">
        <v>18</v>
      </c>
      <c r="J134" t="s">
        <v>251</v>
      </c>
      <c r="K134" t="s">
        <v>241</v>
      </c>
      <c r="L134" s="9">
        <v>2559.0909090909099</v>
      </c>
      <c r="M134" s="9">
        <v>5.9254545454545502</v>
      </c>
      <c r="N134" s="11">
        <v>580.85454545454604</v>
      </c>
    </row>
    <row r="135" spans="1:14" x14ac:dyDescent="0.3">
      <c r="A135" s="4">
        <v>133</v>
      </c>
      <c r="B135" s="5" t="s">
        <v>120</v>
      </c>
      <c r="C135" s="5" t="s">
        <v>175</v>
      </c>
      <c r="D135" s="26" t="s">
        <v>274</v>
      </c>
      <c r="E135" s="6">
        <v>45922</v>
      </c>
      <c r="F135" s="6" t="s">
        <v>267</v>
      </c>
      <c r="G135" s="5" t="s">
        <v>55</v>
      </c>
      <c r="H135" s="5" t="s">
        <v>56</v>
      </c>
      <c r="I135" s="7" t="s">
        <v>41</v>
      </c>
      <c r="J135" t="s">
        <v>96</v>
      </c>
      <c r="K135" t="s">
        <v>241</v>
      </c>
      <c r="L135" s="5">
        <v>2578.1818181818198</v>
      </c>
      <c r="M135" s="5">
        <v>5.9372727272727301</v>
      </c>
      <c r="N135" s="7">
        <v>584.93636363636404</v>
      </c>
    </row>
    <row r="136" spans="1:14" x14ac:dyDescent="0.3">
      <c r="A136" s="8">
        <v>134</v>
      </c>
      <c r="B136" s="9" t="s">
        <v>120</v>
      </c>
      <c r="C136" s="9" t="s">
        <v>176</v>
      </c>
      <c r="D136" s="26" t="s">
        <v>275</v>
      </c>
      <c r="E136" s="10">
        <v>45935</v>
      </c>
      <c r="F136" s="10" t="s">
        <v>268</v>
      </c>
      <c r="G136" s="9" t="s">
        <v>59</v>
      </c>
      <c r="H136" s="9" t="s">
        <v>60</v>
      </c>
      <c r="I136" s="11" t="s">
        <v>41</v>
      </c>
      <c r="J136" t="s">
        <v>252</v>
      </c>
      <c r="K136" t="s">
        <v>241</v>
      </c>
      <c r="L136" s="9">
        <v>2597.2727272727302</v>
      </c>
      <c r="M136" s="9">
        <v>5.9490909090909101</v>
      </c>
      <c r="N136" s="11">
        <v>589.01818181818203</v>
      </c>
    </row>
    <row r="137" spans="1:14" x14ac:dyDescent="0.3">
      <c r="A137" s="4">
        <v>135</v>
      </c>
      <c r="B137" s="5" t="s">
        <v>120</v>
      </c>
      <c r="C137" s="5" t="s">
        <v>177</v>
      </c>
      <c r="D137" s="26" t="s">
        <v>276</v>
      </c>
      <c r="E137" s="6">
        <v>45978</v>
      </c>
      <c r="F137" s="6" t="s">
        <v>266</v>
      </c>
      <c r="G137" s="5" t="s">
        <v>63</v>
      </c>
      <c r="H137" s="5" t="s">
        <v>64</v>
      </c>
      <c r="I137" s="7" t="s">
        <v>68</v>
      </c>
      <c r="J137" t="s">
        <v>106</v>
      </c>
      <c r="K137" t="s">
        <v>241</v>
      </c>
      <c r="L137" s="5">
        <v>2616.3636363636401</v>
      </c>
      <c r="M137" s="5">
        <v>5.96090909090909</v>
      </c>
      <c r="N137" s="7">
        <v>593.1</v>
      </c>
    </row>
    <row r="138" spans="1:14" x14ac:dyDescent="0.3">
      <c r="A138" s="8">
        <v>136</v>
      </c>
      <c r="B138" s="9" t="s">
        <v>120</v>
      </c>
      <c r="C138" s="9" t="s">
        <v>178</v>
      </c>
      <c r="D138" s="26" t="s">
        <v>277</v>
      </c>
      <c r="E138" s="10">
        <v>46019</v>
      </c>
      <c r="F138" s="10" t="s">
        <v>266</v>
      </c>
      <c r="G138" s="9" t="s">
        <v>67</v>
      </c>
      <c r="H138" s="9" t="s">
        <v>12</v>
      </c>
      <c r="I138" s="11" t="s">
        <v>68</v>
      </c>
      <c r="J138" t="s">
        <v>253</v>
      </c>
      <c r="K138" t="s">
        <v>241</v>
      </c>
      <c r="L138" s="9">
        <v>2635.45454545455</v>
      </c>
      <c r="M138" s="9">
        <v>5.97272727272727</v>
      </c>
      <c r="N138" s="11">
        <v>597.18181818181904</v>
      </c>
    </row>
    <row r="139" spans="1:14" x14ac:dyDescent="0.3">
      <c r="A139" s="4">
        <v>137</v>
      </c>
      <c r="B139" s="5" t="s">
        <v>148</v>
      </c>
      <c r="C139" s="5" t="s">
        <v>154</v>
      </c>
      <c r="D139" s="26" t="s">
        <v>274</v>
      </c>
      <c r="E139" s="6">
        <v>45665</v>
      </c>
      <c r="F139" s="6" t="s">
        <v>271</v>
      </c>
      <c r="G139" s="5" t="s">
        <v>72</v>
      </c>
      <c r="H139" s="5" t="s">
        <v>17</v>
      </c>
      <c r="I139" s="7" t="s">
        <v>82</v>
      </c>
      <c r="J139" t="s">
        <v>78</v>
      </c>
      <c r="K139" t="s">
        <v>241</v>
      </c>
      <c r="L139" s="5">
        <v>2654.54545454546</v>
      </c>
      <c r="M139" s="5">
        <v>5.9845454545454597</v>
      </c>
      <c r="N139" s="7">
        <v>601.26363636363703</v>
      </c>
    </row>
    <row r="140" spans="1:14" x14ac:dyDescent="0.3">
      <c r="A140" s="8">
        <v>138</v>
      </c>
      <c r="B140" s="9" t="s">
        <v>148</v>
      </c>
      <c r="C140" s="9" t="s">
        <v>179</v>
      </c>
      <c r="D140" s="26" t="s">
        <v>275</v>
      </c>
      <c r="E140" s="10">
        <v>45707</v>
      </c>
      <c r="F140" s="10" t="s">
        <v>265</v>
      </c>
      <c r="G140" s="9" t="s">
        <v>74</v>
      </c>
      <c r="H140" s="9" t="s">
        <v>21</v>
      </c>
      <c r="I140" s="11" t="s">
        <v>87</v>
      </c>
      <c r="J140" t="s">
        <v>254</v>
      </c>
      <c r="K140" t="s">
        <v>241</v>
      </c>
      <c r="L140" s="9">
        <v>2673.6363636363699</v>
      </c>
      <c r="M140" s="9">
        <v>5.9963636363636397</v>
      </c>
      <c r="N140" s="11">
        <v>605.34545454545503</v>
      </c>
    </row>
    <row r="141" spans="1:14" x14ac:dyDescent="0.3">
      <c r="A141" s="4">
        <v>139</v>
      </c>
      <c r="B141" s="5" t="s">
        <v>148</v>
      </c>
      <c r="C141" s="5" t="s">
        <v>180</v>
      </c>
      <c r="D141" s="26" t="s">
        <v>276</v>
      </c>
      <c r="E141" s="6">
        <v>45747</v>
      </c>
      <c r="F141" s="6" t="s">
        <v>265</v>
      </c>
      <c r="G141" s="5" t="s">
        <v>77</v>
      </c>
      <c r="H141" s="5" t="s">
        <v>24</v>
      </c>
      <c r="I141" s="7" t="s">
        <v>93</v>
      </c>
      <c r="J141" t="s">
        <v>255</v>
      </c>
      <c r="K141" t="s">
        <v>241</v>
      </c>
      <c r="L141" s="5">
        <v>2692.7272727272698</v>
      </c>
      <c r="M141" s="5">
        <v>6.0081818181818196</v>
      </c>
      <c r="N141" s="7">
        <v>609.42727272727302</v>
      </c>
    </row>
    <row r="142" spans="1:14" x14ac:dyDescent="0.3">
      <c r="A142" s="8">
        <v>140</v>
      </c>
      <c r="B142" s="9" t="s">
        <v>148</v>
      </c>
      <c r="C142" s="9" t="s">
        <v>181</v>
      </c>
      <c r="D142" s="26" t="s">
        <v>277</v>
      </c>
      <c r="E142" s="10">
        <v>45762</v>
      </c>
      <c r="F142" s="10" t="s">
        <v>265</v>
      </c>
      <c r="G142" s="9" t="s">
        <v>80</v>
      </c>
      <c r="H142" s="9" t="s">
        <v>27</v>
      </c>
      <c r="I142" s="11" t="s">
        <v>13</v>
      </c>
      <c r="J142" t="s">
        <v>256</v>
      </c>
      <c r="K142" t="s">
        <v>241</v>
      </c>
      <c r="L142" s="9">
        <v>2711.8181818181802</v>
      </c>
      <c r="M142" s="9">
        <v>6.02</v>
      </c>
      <c r="N142" s="11">
        <v>613.50909090909101</v>
      </c>
    </row>
    <row r="143" spans="1:14" x14ac:dyDescent="0.3">
      <c r="A143" s="4">
        <v>141</v>
      </c>
      <c r="B143" s="5" t="s">
        <v>148</v>
      </c>
      <c r="C143" s="5" t="s">
        <v>182</v>
      </c>
      <c r="D143" s="26" t="s">
        <v>274</v>
      </c>
      <c r="E143" s="6">
        <v>45803</v>
      </c>
      <c r="F143" s="6" t="s">
        <v>265</v>
      </c>
      <c r="G143" s="5" t="s">
        <v>11</v>
      </c>
      <c r="H143" s="5" t="s">
        <v>30</v>
      </c>
      <c r="I143" s="7" t="s">
        <v>18</v>
      </c>
      <c r="J143" t="s">
        <v>257</v>
      </c>
      <c r="K143" t="s">
        <v>241</v>
      </c>
      <c r="L143" s="5">
        <v>2730.9090909090901</v>
      </c>
      <c r="M143" s="5">
        <v>6.0318181818181804</v>
      </c>
      <c r="N143" s="7">
        <v>617.59090909090901</v>
      </c>
    </row>
    <row r="144" spans="1:14" x14ac:dyDescent="0.3">
      <c r="A144" s="8">
        <v>142</v>
      </c>
      <c r="B144" s="9" t="s">
        <v>148</v>
      </c>
      <c r="C144" s="9" t="s">
        <v>183</v>
      </c>
      <c r="D144" s="26" t="s">
        <v>275</v>
      </c>
      <c r="E144" s="10">
        <v>45815</v>
      </c>
      <c r="F144" s="10" t="s">
        <v>266</v>
      </c>
      <c r="G144" s="9" t="s">
        <v>16</v>
      </c>
      <c r="H144" s="9" t="s">
        <v>33</v>
      </c>
      <c r="I144" s="11" t="s">
        <v>18</v>
      </c>
      <c r="J144" t="s">
        <v>69</v>
      </c>
      <c r="K144" t="s">
        <v>241</v>
      </c>
      <c r="L144" s="9">
        <v>2750</v>
      </c>
      <c r="M144" s="9">
        <v>6.0436363636363604</v>
      </c>
      <c r="N144" s="11">
        <v>621.67272727272803</v>
      </c>
    </row>
    <row r="145" spans="1:14" x14ac:dyDescent="0.3">
      <c r="A145" s="4">
        <v>143</v>
      </c>
      <c r="B145" s="5" t="s">
        <v>148</v>
      </c>
      <c r="C145" s="5" t="s">
        <v>184</v>
      </c>
      <c r="D145" s="26" t="s">
        <v>276</v>
      </c>
      <c r="E145" s="6">
        <v>45856</v>
      </c>
      <c r="F145" s="6" t="s">
        <v>267</v>
      </c>
      <c r="G145" s="5" t="s">
        <v>20</v>
      </c>
      <c r="H145" s="5" t="s">
        <v>36</v>
      </c>
      <c r="I145" s="7" t="s">
        <v>41</v>
      </c>
      <c r="J145" t="s">
        <v>258</v>
      </c>
      <c r="K145" t="s">
        <v>241</v>
      </c>
      <c r="L145" s="5">
        <v>2769.0909090909099</v>
      </c>
      <c r="M145" s="5">
        <v>6.0554545454545501</v>
      </c>
      <c r="N145" s="7">
        <v>625.75454545454602</v>
      </c>
    </row>
    <row r="146" spans="1:14" x14ac:dyDescent="0.3">
      <c r="A146" s="8">
        <v>144</v>
      </c>
      <c r="B146" s="9" t="s">
        <v>148</v>
      </c>
      <c r="C146" s="9" t="s">
        <v>185</v>
      </c>
      <c r="D146" s="26" t="s">
        <v>277</v>
      </c>
      <c r="E146" s="10">
        <v>45899</v>
      </c>
      <c r="F146" s="10" t="s">
        <v>268</v>
      </c>
      <c r="G146" s="9" t="s">
        <v>23</v>
      </c>
      <c r="H146" s="9" t="s">
        <v>40</v>
      </c>
      <c r="I146" s="11" t="s">
        <v>41</v>
      </c>
      <c r="J146" t="s">
        <v>109</v>
      </c>
      <c r="K146" t="s">
        <v>241</v>
      </c>
      <c r="L146" s="9">
        <v>2788.1818181818198</v>
      </c>
      <c r="M146" s="9">
        <v>6.06727272727273</v>
      </c>
      <c r="N146" s="11">
        <v>629.83636363636401</v>
      </c>
    </row>
    <row r="147" spans="1:14" x14ac:dyDescent="0.3">
      <c r="A147" s="4">
        <v>145</v>
      </c>
      <c r="B147" s="5" t="s">
        <v>148</v>
      </c>
      <c r="C147" s="5" t="s">
        <v>186</v>
      </c>
      <c r="D147" s="26" t="s">
        <v>274</v>
      </c>
      <c r="E147" s="6">
        <v>45911</v>
      </c>
      <c r="F147" s="6" t="s">
        <v>267</v>
      </c>
      <c r="G147" s="5" t="s">
        <v>26</v>
      </c>
      <c r="H147" s="5" t="s">
        <v>45</v>
      </c>
      <c r="I147" s="7" t="s">
        <v>68</v>
      </c>
      <c r="J147" t="s">
        <v>242</v>
      </c>
      <c r="K147" t="s">
        <v>241</v>
      </c>
      <c r="L147" s="5">
        <v>2807.2727272727302</v>
      </c>
      <c r="M147" s="5">
        <v>6.07909090909091</v>
      </c>
      <c r="N147" s="7">
        <v>633.91818181818201</v>
      </c>
    </row>
    <row r="148" spans="1:14" x14ac:dyDescent="0.3">
      <c r="A148" s="8">
        <v>146</v>
      </c>
      <c r="B148" s="9" t="s">
        <v>148</v>
      </c>
      <c r="C148" s="9" t="s">
        <v>187</v>
      </c>
      <c r="D148" s="26" t="s">
        <v>275</v>
      </c>
      <c r="E148" s="10">
        <v>45954</v>
      </c>
      <c r="F148" s="10" t="s">
        <v>269</v>
      </c>
      <c r="G148" s="9" t="s">
        <v>29</v>
      </c>
      <c r="H148" s="9" t="s">
        <v>48</v>
      </c>
      <c r="I148" s="11" t="s">
        <v>68</v>
      </c>
      <c r="J148" t="s">
        <v>259</v>
      </c>
      <c r="K148" t="s">
        <v>241</v>
      </c>
      <c r="L148" s="9">
        <v>2826.3636363636401</v>
      </c>
      <c r="M148" s="9">
        <v>6.0909090909090899</v>
      </c>
      <c r="N148" s="11">
        <v>638</v>
      </c>
    </row>
    <row r="149" spans="1:14" x14ac:dyDescent="0.3">
      <c r="A149" s="4">
        <v>147</v>
      </c>
      <c r="B149" s="5" t="s">
        <v>148</v>
      </c>
      <c r="C149" s="5" t="s">
        <v>187</v>
      </c>
      <c r="D149" s="26" t="s">
        <v>276</v>
      </c>
      <c r="E149" s="6">
        <v>45967</v>
      </c>
      <c r="F149" s="6" t="s">
        <v>266</v>
      </c>
      <c r="G149" s="5" t="s">
        <v>32</v>
      </c>
      <c r="H149" s="5" t="s">
        <v>51</v>
      </c>
      <c r="I149" s="7" t="s">
        <v>82</v>
      </c>
      <c r="J149" t="s">
        <v>260</v>
      </c>
      <c r="K149" t="s">
        <v>241</v>
      </c>
      <c r="L149" s="5">
        <v>2845.45454545455</v>
      </c>
      <c r="M149" s="5">
        <v>6.1027272727272699</v>
      </c>
      <c r="N149" s="7">
        <v>642.08181818181902</v>
      </c>
    </row>
    <row r="150" spans="1:14" x14ac:dyDescent="0.3">
      <c r="A150" s="8">
        <v>148</v>
      </c>
      <c r="B150" s="9" t="s">
        <v>148</v>
      </c>
      <c r="C150" s="9" t="s">
        <v>187</v>
      </c>
      <c r="D150" s="26" t="s">
        <v>277</v>
      </c>
      <c r="E150" s="10">
        <v>46010</v>
      </c>
      <c r="F150" s="10" t="s">
        <v>267</v>
      </c>
      <c r="G150" s="9" t="s">
        <v>35</v>
      </c>
      <c r="H150" s="9" t="s">
        <v>56</v>
      </c>
      <c r="I150" s="11" t="s">
        <v>87</v>
      </c>
      <c r="J150" t="s">
        <v>261</v>
      </c>
      <c r="K150" t="s">
        <v>241</v>
      </c>
      <c r="L150" s="9">
        <v>2864.54545454546</v>
      </c>
      <c r="M150" s="9">
        <v>6.1145454545454596</v>
      </c>
      <c r="N150" s="11">
        <v>646.16363636363701</v>
      </c>
    </row>
    <row r="151" spans="1:14" x14ac:dyDescent="0.3">
      <c r="A151" s="4">
        <v>149</v>
      </c>
      <c r="B151" s="5" t="s">
        <v>148</v>
      </c>
      <c r="C151" s="5" t="s">
        <v>187</v>
      </c>
      <c r="D151" s="26" t="s">
        <v>274</v>
      </c>
      <c r="E151" s="6">
        <v>45690</v>
      </c>
      <c r="F151" s="6" t="s">
        <v>270</v>
      </c>
      <c r="G151" s="5" t="s">
        <v>39</v>
      </c>
      <c r="H151" s="5" t="s">
        <v>60</v>
      </c>
      <c r="I151" s="7" t="s">
        <v>87</v>
      </c>
      <c r="J151" t="s">
        <v>262</v>
      </c>
      <c r="K151" t="s">
        <v>241</v>
      </c>
      <c r="L151" s="5">
        <v>2883.6363636363699</v>
      </c>
      <c r="M151" s="5">
        <v>6.1263636363636396</v>
      </c>
      <c r="N151" s="7">
        <v>423.2</v>
      </c>
    </row>
  </sheetData>
  <autoFilter ref="A2:N2" xr:uid="{2AEB4D1C-002C-4E85-9C1F-A93CB469EF35}"/>
  <phoneticPr fontId="2" type="noConversion"/>
  <conditionalFormatting sqref="L3:N151 A2:N2 E3:J3 E4:I21 A3:D21 A22:I151">
    <cfRule type="colorScale" priority="2">
      <colorScale>
        <cfvo type="min"/>
        <cfvo type="max"/>
        <color rgb="FFFFEF9C"/>
        <color rgb="FF63BE7B"/>
      </colorScale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{F84B4756-243F-4595-B1E9-EE4311A23F80}</x14:id>
        </ext>
      </extLst>
    </cfRule>
  </conditionalFormatting>
  <conditionalFormatting sqref="L3:N15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{D3074EB4-8723-460C-8E7B-ECA261E2F5A0}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4B4756-243F-4595-B1E9-EE4311A23F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L3:N151 A2:N2 E3:J3 E4:I21 A3:D21 A22:I151</xm:sqref>
        </x14:conditionalFormatting>
        <x14:conditionalFormatting xmlns:xm="http://schemas.microsoft.com/office/excel/2006/main">
          <x14:cfRule type="dataBar" id="{D3074EB4-8723-460C-8E7B-ECA261E2F5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L3:N151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44C3D-2170-406C-8C1E-C65681D4ED54}">
  <dimension ref="O22:Z41"/>
  <sheetViews>
    <sheetView view="pageBreakPreview" topLeftCell="A10" zoomScale="55" zoomScaleNormal="70" zoomScaleSheetLayoutView="55" workbookViewId="0">
      <selection activeCell="I50" sqref="I50"/>
    </sheetView>
  </sheetViews>
  <sheetFormatPr defaultRowHeight="14.4" x14ac:dyDescent="0.3"/>
  <sheetData>
    <row r="22" spans="26:26" x14ac:dyDescent="0.3">
      <c r="Z22" t="b">
        <f>'Analyssi sheet'!A9='Analyssi sheet'!A7=GETPIVOTDATA("Sum of Price",'Analyssi sheet'!$A$3)+GETPIVOTDATA("Sum of Price",'Analyssi sheet'!$A$3)</f>
        <v>0</v>
      </c>
    </row>
    <row r="41" spans="15:15" x14ac:dyDescent="0.3">
      <c r="O41" t="s">
        <v>263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Analyssi sheet</vt:lpstr>
      <vt:lpstr>Sheet2</vt:lpstr>
      <vt:lpstr>Sheet3</vt:lpstr>
      <vt:lpstr>Sheet4</vt:lpstr>
      <vt:lpstr>Sheet5</vt:lpstr>
      <vt:lpstr>Sheet6</vt:lpstr>
      <vt:lpstr>Sheet8</vt:lpstr>
      <vt:lpstr>Sheet12</vt:lpstr>
      <vt:lpstr>Sheet11</vt:lpstr>
      <vt:lpstr>Sheet13</vt:lpstr>
      <vt:lpstr>Sheet15</vt:lpstr>
      <vt:lpstr>Resturant Data</vt:lpstr>
      <vt:lpstr>Dashbord</vt:lpstr>
      <vt:lpstr>Dashbord!Print_Area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2026-05-31T20:48:44Z</dcterms:created>
  <dcterms:modified xsi:type="dcterms:W3CDTF">2026-06-01T18:02:12Z</dcterms:modified>
</cp:coreProperties>
</file>